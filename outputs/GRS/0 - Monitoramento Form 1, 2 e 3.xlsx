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Monitoramento" sheetId="2" state="visible" r:id="rId2"/>
    <sheet xmlns:r="http://schemas.openxmlformats.org/officeDocument/2006/relationships" name="Form 1 - Município" sheetId="3" state="visible" r:id="rId3"/>
    <sheet xmlns:r="http://schemas.openxmlformats.org/officeDocument/2006/relationships" name="Form 2 - UVR" sheetId="4" state="visible" r:id="rId4"/>
    <sheet xmlns:r="http://schemas.openxmlformats.org/officeDocument/2006/relationships" name="Form 3 - Empreendimento" sheetId="5" state="visible"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color theme="0"/>
      <sz val="12"/>
    </font>
    <font>
      <name val="Arial"/>
      <b val="1"/>
      <sz val="10"/>
    </font>
    <font>
      <name val="Arial"/>
      <b val="1"/>
      <color rgb="FFFFFFFF"/>
      <sz val="8"/>
    </font>
    <font>
      <name val="Calibri"/>
      <color theme="1"/>
      <sz val="11"/>
    </font>
    <font>
      <name val="Calibri"/>
      <color theme="0"/>
      <sz val="11"/>
    </font>
    <font>
      <name val="Calibri"/>
      <b val="1"/>
      <color theme="1"/>
      <sz val="11"/>
    </font>
    <font>
      <name val="Arial"/>
      <color rgb="FF000000"/>
      <sz val="9"/>
    </font>
    <font>
      <name val="Arial"/>
      <sz val="10"/>
    </font>
    <font>
      <name val="Calibri"/>
      <color rgb="FF000000"/>
      <sz val="11"/>
    </font>
    <font>
      <name val="Arial"/>
      <color theme="1"/>
      <sz val="11"/>
    </font>
    <font>
      <name val="Aptos Narrow"/>
      <color theme="0"/>
      <sz val="12"/>
    </font>
    <font>
      <name val="Aptos Narrow"/>
      <color theme="1"/>
      <sz val="12"/>
    </font>
    <font>
      <name val="Arial"/>
      <b val="1"/>
      <color rgb="00FFFFFF"/>
      <sz val="11"/>
    </font>
    <font>
      <name val="Arial"/>
      <sz val="11"/>
    </font>
    <font>
      <name val="Arial"/>
      <color rgb="00FFFFFF"/>
      <sz val="11"/>
    </font>
  </fonts>
  <fills count="44">
    <fill>
      <patternFill/>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B050"/>
        <bgColor indexed="64"/>
      </patternFill>
    </fill>
    <fill>
      <patternFill patternType="solid">
        <fgColor rgb="FF002060"/>
        <bgColor indexed="64"/>
      </patternFill>
    </fill>
    <fill>
      <patternFill patternType="solid">
        <fgColor rgb="FFFFFFFF"/>
        <bgColor indexed="64"/>
      </patternFill>
    </fill>
    <fill>
      <patternFill patternType="solid">
        <fgColor rgb="FFFFF7C9"/>
        <bgColor indexed="64"/>
      </patternFill>
    </fill>
    <fill>
      <patternFill patternType="solid">
        <fgColor rgb="FFA3DDFF"/>
        <bgColor indexed="64"/>
      </patternFill>
    </fill>
    <fill>
      <patternFill patternType="solid">
        <fgColor theme="7" tint="0.5999938962981048"/>
        <bgColor indexed="64"/>
      </patternFill>
    </fill>
    <fill>
      <patternFill patternType="solid">
        <fgColor rgb="FFEBC99F"/>
        <bgColor indexed="64"/>
      </patternFill>
    </fill>
    <fill>
      <patternFill patternType="solid">
        <fgColor rgb="FFFFD2DE"/>
        <bgColor indexed="64"/>
      </patternFill>
    </fill>
    <fill>
      <patternFill patternType="solid">
        <fgColor rgb="FF91F0D3"/>
        <bgColor indexed="64"/>
      </patternFill>
    </fill>
    <fill>
      <patternFill patternType="solid">
        <fgColor theme="0"/>
        <bgColor indexed="64"/>
      </patternFill>
    </fill>
    <fill>
      <patternFill patternType="solid">
        <fgColor rgb="FFFFFF00"/>
        <bgColor indexed="64"/>
      </patternFill>
    </fill>
    <fill>
      <patternFill patternType="solid">
        <fgColor theme="4" tint="0.7999816888943144"/>
        <bgColor theme="4" tint="0.7999816888943144"/>
      </patternFill>
    </fill>
    <fill>
      <patternFill patternType="solid">
        <fgColor theme="4" tint="0.3999755851924192"/>
        <bgColor indexed="64"/>
      </patternFill>
    </fill>
    <fill>
      <patternFill patternType="solid">
        <fgColor rgb="FF7030A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00003366"/>
        <bgColor rgb="00003366"/>
      </patternFill>
    </fill>
    <fill>
      <patternFill patternType="solid">
        <fgColor rgb="0066FF66"/>
        <bgColor rgb="0066FF66"/>
      </patternFill>
    </fill>
    <fill>
      <patternFill patternType="solid">
        <fgColor rgb="00A3DDFF"/>
        <bgColor rgb="00A3DDFF"/>
      </patternFill>
    </fill>
    <fill>
      <patternFill patternType="solid">
        <fgColor rgb="FFA3DDFF"/>
        <bgColor rgb="FFA3DDFF"/>
      </patternFill>
    </fill>
    <fill>
      <patternFill patternType="solid">
        <fgColor rgb="FF006400"/>
        <bgColor rgb="FF006400"/>
      </patternFill>
    </fill>
    <fill>
      <patternFill patternType="solid">
        <fgColor rgb="FF66FF66"/>
        <bgColor rgb="FF66FF66"/>
      </patternFill>
    </fill>
    <fill>
      <patternFill patternType="solid">
        <fgColor rgb="00FF6666"/>
        <bgColor rgb="00FF6666"/>
      </patternFill>
    </fill>
    <fill>
      <patternFill patternType="solid">
        <fgColor rgb="00FFF7C9"/>
        <bgColor rgb="00FFF7C9"/>
      </patternFill>
    </fill>
    <fill>
      <patternFill patternType="solid">
        <fgColor rgb="FFFFF7C9"/>
        <bgColor rgb="FFFFF7C9"/>
      </patternFill>
    </fill>
    <fill>
      <patternFill patternType="solid">
        <fgColor rgb="FFFF6400"/>
        <bgColor rgb="FFFF6400"/>
      </patternFill>
    </fill>
    <fill>
      <patternFill patternType="solid">
        <fgColor rgb="FFFF6666"/>
        <bgColor rgb="FFFF6666"/>
      </patternFill>
    </fill>
    <fill>
      <patternFill patternType="solid">
        <fgColor rgb="00CCC0DA"/>
        <bgColor rgb="00CCC0DA"/>
      </patternFill>
    </fill>
    <fill>
      <patternFill patternType="solid">
        <fgColor rgb="FFCCC0DA"/>
        <bgColor rgb="FFCCC0DA"/>
      </patternFill>
    </fill>
    <fill>
      <patternFill patternType="solid">
        <fgColor rgb="0091F0D3"/>
        <bgColor rgb="0091F0D3"/>
      </patternFill>
    </fill>
    <fill>
      <patternFill patternType="solid">
        <fgColor rgb="FF91F0D3"/>
        <bgColor rgb="FF91F0D3"/>
      </patternFill>
    </fill>
    <fill>
      <patternFill patternType="solid">
        <fgColor rgb="FF31869B"/>
        <bgColor rgb="FF31869B"/>
      </patternFill>
    </fill>
    <fill>
      <patternFill patternType="solid">
        <fgColor rgb="00FFD2DE"/>
        <bgColor rgb="00FFD2DE"/>
      </patternFill>
    </fill>
    <fill>
      <patternFill patternType="solid">
        <fgColor rgb="FFFFD2DE"/>
        <bgColor rgb="FFFFD2DE"/>
      </patternFill>
    </fill>
    <fill>
      <patternFill patternType="solid">
        <fgColor rgb="00EBC99F"/>
        <bgColor rgb="00EBC99F"/>
      </patternFill>
    </fill>
    <fill>
      <patternFill patternType="solid">
        <fgColor rgb="FFEBC99F"/>
        <bgColor rgb="FFEBC99F"/>
      </patternFill>
    </fill>
    <fill>
      <patternFill patternType="solid">
        <fgColor rgb="00006400"/>
        <bgColor rgb="00006400"/>
      </patternFill>
    </fill>
    <fill>
      <patternFill patternType="solid">
        <fgColor rgb="00FF6400"/>
        <bgColor rgb="00FF6400"/>
      </patternFill>
    </fill>
    <fill>
      <patternFill patternType="solid">
        <fgColor rgb="0031869b"/>
        <bgColor rgb="0031869b"/>
      </patternFill>
    </fill>
  </fills>
  <borders count="16">
    <border>
      <left/>
      <right/>
      <top/>
      <bottom/>
      <diagonal/>
    </border>
    <border>
      <left style="thin">
        <color rgb="FF000000"/>
      </left>
      <right style="thin">
        <color rgb="FF000000"/>
      </right>
      <top style="thin">
        <color rgb="FF000000"/>
      </top>
      <bottom/>
    </border>
    <border>
      <left style="thin">
        <color rgb="FF000000"/>
      </left>
      <right style="thin">
        <color auto="1"/>
      </right>
      <top style="thin">
        <color auto="1"/>
      </top>
      <bottom style="thin">
        <color auto="1"/>
      </bottom>
    </border>
    <border>
      <left style="thin">
        <color auto="1"/>
      </left>
      <right style="thin">
        <color auto="1"/>
      </right>
      <top style="thin">
        <color auto="1"/>
      </top>
      <bottom style="thin">
        <color auto="1"/>
      </bottom>
    </border>
    <border>
      <left/>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
      </bottom>
    </border>
    <border>
      <left/>
      <right/>
      <top style="thin">
        <color rgb="FF000000"/>
      </top>
      <bottom style="thin">
        <color rgb="FF000000"/>
      </bottom>
    </border>
    <border>
      <left style="thin">
        <color rgb="00000000"/>
      </left>
      <right style="thin">
        <color rgb="00000000"/>
      </right>
      <top style="thin">
        <color rgb="00000000"/>
      </top>
      <bottom style="thin">
        <color rgb="00000000"/>
      </bottom>
    </border>
  </borders>
  <cellStyleXfs count="1">
    <xf numFmtId="0" fontId="0" fillId="0" borderId="0"/>
  </cellStyleXfs>
  <cellXfs count="56">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wrapText="1"/>
    </xf>
    <xf numFmtId="0" fontId="3" fillId="4" borderId="3" applyAlignment="1" pivotButton="0" quotePrefix="0" xfId="0">
      <alignment horizontal="center" vertical="center" wrapText="1"/>
    </xf>
    <xf numFmtId="0" fontId="4" fillId="0" borderId="4" pivotButton="0" quotePrefix="0" xfId="0"/>
    <xf numFmtId="0" fontId="5" fillId="5" borderId="5" applyAlignment="1" pivotButton="0" quotePrefix="0" xfId="0">
      <alignment horizontal="center" vertical="center"/>
    </xf>
    <xf numFmtId="0" fontId="0" fillId="0" borderId="11" pivotButton="0" quotePrefix="0" xfId="0"/>
    <xf numFmtId="0" fontId="4" fillId="0" borderId="5" applyAlignment="1" pivotButton="0" quotePrefix="0" xfId="0">
      <alignment horizontal="center" vertical="center"/>
    </xf>
    <xf numFmtId="9" fontId="4" fillId="0" borderId="5" applyAlignment="1" pivotButton="0" quotePrefix="0" xfId="0">
      <alignment horizontal="center" vertical="center"/>
    </xf>
    <xf numFmtId="0" fontId="6" fillId="0" borderId="5" applyAlignment="1" pivotButton="0" quotePrefix="0" xfId="0">
      <alignment horizontal="center" vertical="center"/>
    </xf>
    <xf numFmtId="0" fontId="7" fillId="0" borderId="2" applyAlignment="1" pivotButton="0" quotePrefix="0" xfId="0">
      <alignment horizontal="center" vertical="center" wrapText="1"/>
    </xf>
    <xf numFmtId="0" fontId="8" fillId="6" borderId="3" applyAlignment="1" pivotButton="0" quotePrefix="0" xfId="0">
      <alignment horizontal="center" vertical="center" wrapText="1"/>
    </xf>
    <xf numFmtId="0" fontId="4" fillId="0" borderId="7" applyAlignment="1" pivotButton="0" quotePrefix="0" xfId="0">
      <alignment horizontal="center" vertical="center"/>
    </xf>
    <xf numFmtId="0" fontId="1" fillId="2" borderId="8" applyAlignment="1" pivotButton="0" quotePrefix="0" xfId="0">
      <alignment horizontal="center" vertical="center"/>
    </xf>
    <xf numFmtId="0" fontId="1" fillId="2" borderId="5" applyAlignment="1" pivotButton="0" quotePrefix="0" xfId="0">
      <alignment horizontal="center" vertical="center"/>
    </xf>
    <xf numFmtId="0" fontId="0" fillId="0" borderId="12" pivotButton="0" quotePrefix="0" xfId="0"/>
    <xf numFmtId="0" fontId="9" fillId="7" borderId="5" applyAlignment="1" pivotButton="0" quotePrefix="0" xfId="0">
      <alignment horizontal="center" vertical="center"/>
    </xf>
    <xf numFmtId="0" fontId="9" fillId="8" borderId="5" applyAlignment="1" pivotButton="0" quotePrefix="0" xfId="0">
      <alignment horizontal="center" vertical="center"/>
    </xf>
    <xf numFmtId="9" fontId="4" fillId="0" borderId="4" applyAlignment="1" pivotButton="0" quotePrefix="0" xfId="0">
      <alignment horizontal="center" vertical="center"/>
    </xf>
    <xf numFmtId="0" fontId="9" fillId="9" borderId="5" applyAlignment="1" pivotButton="0" quotePrefix="0" xfId="0">
      <alignment horizontal="center" vertical="center"/>
    </xf>
    <xf numFmtId="0" fontId="9" fillId="10" borderId="5" applyAlignment="1" pivotButton="0" quotePrefix="0" xfId="0">
      <alignment horizontal="center" vertical="center"/>
    </xf>
    <xf numFmtId="0" fontId="9" fillId="11" borderId="5" applyAlignment="1" pivotButton="0" quotePrefix="0" xfId="0">
      <alignment horizontal="center" vertical="center"/>
    </xf>
    <xf numFmtId="0" fontId="9" fillId="12" borderId="5" applyAlignment="1" pivotButton="0" quotePrefix="0" xfId="0">
      <alignment horizontal="center" vertical="center"/>
    </xf>
    <xf numFmtId="9" fontId="6" fillId="0" borderId="4" applyAlignment="1" pivotButton="0" quotePrefix="0" xfId="0">
      <alignment horizontal="center" vertical="center"/>
    </xf>
    <xf numFmtId="0" fontId="6" fillId="13" borderId="5" applyAlignment="1" pivotButton="0" quotePrefix="0" xfId="0">
      <alignment horizontal="center" vertical="center"/>
    </xf>
    <xf numFmtId="9" fontId="6" fillId="0" borderId="5" applyAlignment="1" pivotButton="0" quotePrefix="0" xfId="0">
      <alignment horizontal="center" vertical="center"/>
    </xf>
    <xf numFmtId="0" fontId="10" fillId="14" borderId="5" applyAlignment="1" pivotButton="0" quotePrefix="0" xfId="0">
      <alignment horizontal="center" vertical="center"/>
    </xf>
    <xf numFmtId="0" fontId="11" fillId="2" borderId="7" applyAlignment="1" pivotButton="0" quotePrefix="0" xfId="0">
      <alignment horizontal="center" vertical="center"/>
    </xf>
    <xf numFmtId="0" fontId="10" fillId="7" borderId="5" applyAlignment="1" pivotButton="0" quotePrefix="0" xfId="0">
      <alignment horizontal="center" vertical="center"/>
    </xf>
    <xf numFmtId="0" fontId="10" fillId="15" borderId="13" applyAlignment="1" pivotButton="0" quotePrefix="0" xfId="0">
      <alignment horizontal="center" vertical="center"/>
    </xf>
    <xf numFmtId="0" fontId="12" fillId="16" borderId="7" applyAlignment="1" pivotButton="0" quotePrefix="0" xfId="0">
      <alignment horizontal="center" vertical="center"/>
    </xf>
    <xf numFmtId="0" fontId="10" fillId="8" borderId="14" applyAlignment="1" pivotButton="0" quotePrefix="0" xfId="0">
      <alignment horizontal="center" vertical="center"/>
    </xf>
    <xf numFmtId="0" fontId="12" fillId="17" borderId="7" applyAlignment="1" pivotButton="0" quotePrefix="0" xfId="0">
      <alignment horizontal="center" vertical="center"/>
    </xf>
    <xf numFmtId="0" fontId="10" fillId="9" borderId="5" applyAlignment="1" pivotButton="0" quotePrefix="0" xfId="0">
      <alignment horizontal="center" vertical="center"/>
    </xf>
    <xf numFmtId="0" fontId="10" fillId="18" borderId="5" applyAlignment="1" pivotButton="0" quotePrefix="0" xfId="0">
      <alignment horizontal="center" vertical="center"/>
    </xf>
    <xf numFmtId="0" fontId="10" fillId="10" borderId="5" applyAlignment="1" pivotButton="0" quotePrefix="0" xfId="0">
      <alignment horizontal="center" vertical="center"/>
    </xf>
    <xf numFmtId="0" fontId="10" fillId="0" borderId="5" applyAlignment="1" pivotButton="0" quotePrefix="0" xfId="0">
      <alignment horizontal="center" vertical="center"/>
    </xf>
    <xf numFmtId="0" fontId="10" fillId="19" borderId="5" applyAlignment="1" pivotButton="0" quotePrefix="0" xfId="0">
      <alignment horizontal="center" vertical="center"/>
    </xf>
    <xf numFmtId="0" fontId="10" fillId="11" borderId="5" applyAlignment="1" pivotButton="0" quotePrefix="0" xfId="0">
      <alignment horizontal="center" vertical="center"/>
    </xf>
    <xf numFmtId="0" fontId="10" fillId="20" borderId="5" applyAlignment="1" pivotButton="0" quotePrefix="0" xfId="0">
      <alignment horizontal="center" vertical="center"/>
    </xf>
    <xf numFmtId="0" fontId="10" fillId="12" borderId="5" applyAlignment="1" pivotButton="0" quotePrefix="0" xfId="0">
      <alignment horizontal="center" vertical="center"/>
    </xf>
    <xf numFmtId="0" fontId="13" fillId="21" borderId="15" applyAlignment="1" pivotButton="0" quotePrefix="0" xfId="0">
      <alignment horizontal="center" vertical="center"/>
    </xf>
    <xf numFmtId="0" fontId="14" fillId="23" borderId="15" applyAlignment="1" pivotButton="0" quotePrefix="0" xfId="0">
      <alignment horizontal="center" vertical="center"/>
    </xf>
    <xf numFmtId="0" fontId="14" fillId="0" borderId="15" applyAlignment="1" pivotButton="0" quotePrefix="0" xfId="0">
      <alignment horizontal="center" vertical="center"/>
    </xf>
    <xf numFmtId="0" fontId="15" fillId="41" borderId="15" applyAlignment="1" pivotButton="0" quotePrefix="0" xfId="0">
      <alignment horizontal="center" vertical="center"/>
    </xf>
    <xf numFmtId="0" fontId="14" fillId="26" borderId="15" applyAlignment="1" pivotButton="0" quotePrefix="0" xfId="0">
      <alignment horizontal="center" vertical="center"/>
    </xf>
    <xf numFmtId="0" fontId="14" fillId="28" borderId="15" applyAlignment="1" pivotButton="0" quotePrefix="0" xfId="0">
      <alignment horizontal="center" vertical="center"/>
    </xf>
    <xf numFmtId="0" fontId="15" fillId="42" borderId="15" applyAlignment="1" pivotButton="0" quotePrefix="0" xfId="0">
      <alignment horizontal="center" vertical="center"/>
    </xf>
    <xf numFmtId="0" fontId="14" fillId="31" borderId="15" applyAlignment="1" pivotButton="0" quotePrefix="0" xfId="0">
      <alignment horizontal="center" vertical="center"/>
    </xf>
    <xf numFmtId="0" fontId="14" fillId="32" borderId="15" applyAlignment="1" pivotButton="0" quotePrefix="0" xfId="0">
      <alignment horizontal="center" vertical="center"/>
    </xf>
    <xf numFmtId="0" fontId="14" fillId="34" borderId="15" applyAlignment="1" pivotButton="0" quotePrefix="0" xfId="0">
      <alignment horizontal="center" vertical="center"/>
    </xf>
    <xf numFmtId="0" fontId="15" fillId="43" borderId="15" applyAlignment="1" pivotButton="0" quotePrefix="0" xfId="0">
      <alignment horizontal="center" vertical="center"/>
    </xf>
    <xf numFmtId="0" fontId="14" fillId="37" borderId="15" applyAlignment="1" pivotButton="0" quotePrefix="0" xfId="0">
      <alignment horizontal="center" vertical="center"/>
    </xf>
    <xf numFmtId="0" fontId="14" fillId="39" borderId="15" applyAlignment="1" pivotButton="0" quotePrefix="0" xfId="0">
      <alignment horizontal="center" vertical="center"/>
    </xf>
    <xf numFmtId="0" fontId="14" fillId="22" borderId="15" applyAlignment="1" pivotButton="0" quotePrefix="0" xfId="0">
      <alignment horizontal="center" vertical="center"/>
    </xf>
    <xf numFmtId="0" fontId="14" fillId="27" borderId="15" applyAlignment="1" pivotButton="0" quotePrefix="0" xfId="0">
      <alignment horizontal="center" vertical="center"/>
    </xf>
  </cellXfs>
  <cellStyles count="1">
    <cellStyle name="Normal" xfId="0" builtinId="0" hidden="0"/>
  </cellStyles>
  <dxfs count="13">
    <dxf>
      <font>
        <color theme="0"/>
      </font>
      <fill>
        <patternFill patternType="solid">
          <bgColor theme="1" tint="0.499984740745262"/>
        </patternFill>
      </fill>
    </dxf>
    <dxf>
      <font>
        <color theme="0"/>
      </font>
      <fill>
        <patternFill patternType="solid">
          <bgColor rgb="FF7030A0"/>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8" tint="-0.249977111117893"/>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7"/>
  <sheetViews>
    <sheetView workbookViewId="0">
      <selection activeCell="A1" sqref="A1"/>
    </sheetView>
  </sheetViews>
  <sheetFormatPr baseColWidth="8" defaultRowHeight="15"/>
  <cols>
    <col width="20" customWidth="1" min="1" max="1"/>
    <col width="12.85546875" customWidth="1" min="2" max="2"/>
    <col width="12.28515625" customWidth="1" min="3" max="3"/>
    <col width="15.140625" customWidth="1" min="4" max="4"/>
    <col width="12" customWidth="1" min="5" max="5"/>
    <col width="15.140625" customWidth="1" min="6" max="6"/>
    <col width="11.85546875" customWidth="1" min="7" max="7"/>
    <col width="15.140625" customWidth="1" min="8" max="8"/>
    <col width="11.85546875" customWidth="1" min="9" max="9"/>
    <col width="14.85546875" customWidth="1" min="10" max="10"/>
    <col width="21.5703125" customWidth="1" min="12" max="12"/>
    <col width="24.7109375" customWidth="1" min="30" max="30"/>
    <col width="9.85546875" customWidth="1" min="31" max="31"/>
    <col width="24.7109375" customWidth="1" min="33" max="33"/>
    <col width="9.85546875" customWidth="1" min="34" max="34"/>
    <col width="24.7109375" customWidth="1" min="36" max="36"/>
    <col width="9.85546875" customWidth="1" min="37" max="37"/>
  </cols>
  <sheetData>
    <row r="1" ht="18.75" customHeight="1">
      <c r="A1" s="1" t="inlineStr">
        <is>
          <t>Formulário</t>
        </is>
      </c>
      <c r="B1" s="1" t="inlineStr">
        <is>
          <t>Enviados</t>
        </is>
      </c>
      <c r="C1" s="1" t="inlineStr">
        <is>
          <t>%</t>
        </is>
      </c>
      <c r="D1" s="1" t="inlineStr">
        <is>
          <t>Atrasados</t>
        </is>
      </c>
      <c r="E1" s="1" t="inlineStr">
        <is>
          <t>%</t>
        </is>
      </c>
      <c r="F1" s="1" t="inlineStr">
        <is>
          <t>Sem Técnico</t>
        </is>
      </c>
      <c r="G1" s="1" t="inlineStr">
        <is>
          <t>%</t>
        </is>
      </c>
      <c r="H1" s="1" t="inlineStr">
        <is>
          <t>Duplicado</t>
        </is>
      </c>
      <c r="I1" s="1" t="inlineStr">
        <is>
          <t>%</t>
        </is>
      </c>
      <c r="J1" s="1" t="inlineStr">
        <is>
          <t>Total</t>
        </is>
      </c>
      <c r="L1" s="2" t="inlineStr">
        <is>
          <t xml:space="preserve">Formulários </t>
        </is>
      </c>
      <c r="M1" s="3" t="inlineStr">
        <is>
          <t xml:space="preserve">Enviado </t>
        </is>
      </c>
      <c r="N1" s="3" t="inlineStr">
        <is>
          <t xml:space="preserve">Atrasado </t>
        </is>
      </c>
      <c r="O1" s="3" t="inlineStr">
        <is>
          <t xml:space="preserve">Sem Téc </t>
        </is>
      </c>
      <c r="AC1" s="4" t="n"/>
      <c r="AD1" s="5" t="inlineStr">
        <is>
          <t>Form 1</t>
        </is>
      </c>
      <c r="AE1" s="6" t="n"/>
      <c r="AF1" s="4" t="n"/>
      <c r="AG1" s="5" t="inlineStr">
        <is>
          <t>Form 2</t>
        </is>
      </c>
      <c r="AH1" s="6" t="n"/>
      <c r="AJ1" s="5" t="inlineStr">
        <is>
          <t>Form 3</t>
        </is>
      </c>
      <c r="AK1" s="6" t="n"/>
    </row>
    <row r="2" ht="15.75" customHeight="1">
      <c r="A2" s="7" t="inlineStr">
        <is>
          <t>1 - Município</t>
        </is>
      </c>
      <c r="B2" s="7">
        <f>COUNTIF(AE2:AE56,"Enviado")</f>
        <v/>
      </c>
      <c r="C2" s="8">
        <f>B2/SUM($B2,$D2,$F2,$H2)</f>
        <v/>
      </c>
      <c r="D2" s="7">
        <f>COUNTIF(AE2:AE56,"Atrasado")</f>
        <v/>
      </c>
      <c r="E2" s="8">
        <f>D2/SUM($B2,$D2,$F2,$H2)</f>
        <v/>
      </c>
      <c r="F2" s="7">
        <f>COUNTIF(AE2:AE56,"Sem Técnico")</f>
        <v/>
      </c>
      <c r="G2" s="8">
        <f>F2/SUM($B2,$D2,$F2,$H2)</f>
        <v/>
      </c>
      <c r="H2" s="7">
        <f>COUNTIF(AE2:AE56,"Duplicado")</f>
        <v/>
      </c>
      <c r="I2" s="8">
        <f>H2/SUM($B2,$D2,$F2,$H2)</f>
        <v/>
      </c>
      <c r="J2" s="9">
        <f>SUM(B2,D2,F2,H2)</f>
        <v/>
      </c>
      <c r="L2" s="10" t="inlineStr">
        <is>
          <t xml:space="preserve">  1 - Município </t>
        </is>
      </c>
      <c r="M2" s="11">
        <f>B2+H2</f>
        <v/>
      </c>
      <c r="N2" s="11">
        <f>D2</f>
        <v/>
      </c>
      <c r="O2" s="11">
        <f>F2</f>
        <v/>
      </c>
      <c r="AC2" s="4" t="n"/>
      <c r="AD2" s="7">
        <f t="array" ref="AD2:AD56">_xlfn.UNIQUE(INDIRECT("'Form 1 - Município'!B2:B70"))</f>
        <v/>
      </c>
      <c r="AE2" s="7">
        <f>VLOOKUP(AD2,INDIRECT("'Form 1 - Município'!$B$2:$E$70"),4,FALSE)</f>
        <v/>
      </c>
      <c r="AF2" s="4" t="n"/>
      <c r="AG2" s="7">
        <f t="array" ref="AG2:AG56">_xlfn.UNIQUE(INDIRECT("'Form 2 - UVR'!B2:B70"))</f>
        <v/>
      </c>
      <c r="AH2" s="7">
        <f>VLOOKUP(AG2,INDIRECT("'Form 2 - UVR'!$B$2:$E$70"),4,FALSE)</f>
        <v/>
      </c>
      <c r="AJ2" s="7">
        <f t="array" ref="AJ2:AJ56">_xlfn.UNIQUE(INDIRECT("'Form 3 - Empreendimento'!B2:B70"))</f>
        <v/>
      </c>
      <c r="AK2" s="7">
        <f>VLOOKUP(AJ2,INDIRECT("'Form 3 - Empreendimento'!$B$2:$E$70"),4,FALSE)</f>
        <v/>
      </c>
    </row>
    <row r="3" ht="15.75" customHeight="1">
      <c r="A3" s="7" t="inlineStr">
        <is>
          <t>2 - UVR</t>
        </is>
      </c>
      <c r="B3" s="7">
        <f>COUNTIF(AH2:AH56,"Enviado")</f>
        <v/>
      </c>
      <c r="C3" s="8">
        <f>B3/SUM($B3,$D3,$F3,$H3)</f>
        <v/>
      </c>
      <c r="D3" s="7">
        <f>COUNTIF(AH2:AH56,"Atrasado")</f>
        <v/>
      </c>
      <c r="E3" s="8">
        <f>D3/SUM($B3,$D3,$F3,$H3)</f>
        <v/>
      </c>
      <c r="F3" s="7">
        <f>COUNTIF(AH2:AH56,"Sem Técnico")</f>
        <v/>
      </c>
      <c r="G3" s="8">
        <f>F3/SUM($B3,$D3,$F3,$H3)</f>
        <v/>
      </c>
      <c r="H3" s="7">
        <f>COUNTIF(AH2:AH56,"Duplicado")</f>
        <v/>
      </c>
      <c r="I3" s="8">
        <f>H3/SUM($B3,$D3,$F3,$H3)</f>
        <v/>
      </c>
      <c r="J3" s="9">
        <f>SUM(B3,D3,F3,H3)</f>
        <v/>
      </c>
      <c r="L3" s="10" t="inlineStr">
        <is>
          <t xml:space="preserve">  2 - UVR </t>
        </is>
      </c>
      <c r="M3" s="11">
        <f>B3+H3</f>
        <v/>
      </c>
      <c r="N3" s="11">
        <f>D3</f>
        <v/>
      </c>
      <c r="O3" s="11">
        <f>F3</f>
        <v/>
      </c>
      <c r="AC3" s="4" t="n"/>
      <c r="AD3" s="7" t="inlineStr">
        <is>
          <t>=</t>
        </is>
      </c>
      <c r="AE3" s="7">
        <f>VLOOKUP(AD3,INDIRECT("'Form 1 - Município'!$B$2:$E$70"),4,FALSE)</f>
        <v/>
      </c>
      <c r="AF3" s="4" t="n"/>
      <c r="AG3" s="7" t="inlineStr">
        <is>
          <t>=</t>
        </is>
      </c>
      <c r="AH3" s="7">
        <f>VLOOKUP(AG3,INDIRECT("'Form 2 - UVR'!$B$2:$E$70"),4,FALSE)</f>
        <v/>
      </c>
      <c r="AJ3" s="7" t="inlineStr">
        <is>
          <t>=</t>
        </is>
      </c>
      <c r="AK3" s="7">
        <f>VLOOKUP(AJ3,INDIRECT("'Form 3 - Empreendimento'!$B$2:$E$70"),4,FALSE)</f>
        <v/>
      </c>
    </row>
    <row r="4" ht="15.75" customHeight="1">
      <c r="A4" s="7" t="inlineStr">
        <is>
          <t>3 - Empreendimento</t>
        </is>
      </c>
      <c r="B4" s="7">
        <f>COUNTIF(AK2:AK56,"Enviado")</f>
        <v/>
      </c>
      <c r="C4" s="8">
        <f>B4/SUM($B4,$D4,$F4,$H4)</f>
        <v/>
      </c>
      <c r="D4" s="7">
        <f>COUNTIF(AK2:AK56,"Atrasado")</f>
        <v/>
      </c>
      <c r="E4" s="8">
        <f>D4/SUM($B4,$D4,$F4,$H4)</f>
        <v/>
      </c>
      <c r="F4" s="7">
        <f>COUNTIF(AK2:AK56,"Sem Técnico")</f>
        <v/>
      </c>
      <c r="G4" s="8">
        <f>F4/SUM($B4,$D4,$F4,$H4)</f>
        <v/>
      </c>
      <c r="H4" s="7">
        <f>COUNTIF(AK2:AK56,"Duplicado")</f>
        <v/>
      </c>
      <c r="I4" s="8">
        <f>H4/SUM($B4,$D4,$F4,$H4)</f>
        <v/>
      </c>
      <c r="J4" s="9">
        <f>SUM(B4,D4,F4,H4)</f>
        <v/>
      </c>
      <c r="L4" s="10" t="inlineStr">
        <is>
          <t xml:space="preserve">  3 - Empreendimento </t>
        </is>
      </c>
      <c r="M4" s="11">
        <f>B4+H4</f>
        <v/>
      </c>
      <c r="N4" s="11">
        <f>D4</f>
        <v/>
      </c>
      <c r="O4" s="11">
        <f>F4</f>
        <v/>
      </c>
      <c r="AC4" s="4" t="n"/>
      <c r="AD4" s="7" t="inlineStr">
        <is>
          <t>=</t>
        </is>
      </c>
      <c r="AE4" s="7">
        <f>VLOOKUP(AD4,INDIRECT("'Form 1 - Município'!$B$2:$E$70"),4,FALSE)</f>
        <v/>
      </c>
      <c r="AF4" s="4" t="n"/>
      <c r="AG4" s="7" t="inlineStr">
        <is>
          <t>=</t>
        </is>
      </c>
      <c r="AH4" s="7">
        <f>VLOOKUP(AG4,INDIRECT("'Form 2 - UVR'!$B$2:$E$70"),4,FALSE)</f>
        <v/>
      </c>
      <c r="AJ4" s="7" t="inlineStr">
        <is>
          <t>=</t>
        </is>
      </c>
      <c r="AK4" s="7">
        <f>VLOOKUP(AJ4,INDIRECT("'Form 3 - Empreendimento'!$B$2:$E$70"),4,FALSE)</f>
        <v/>
      </c>
    </row>
    <row r="5" ht="15.75" customHeight="1">
      <c r="A5" s="9" t="inlineStr">
        <is>
          <t>Total</t>
        </is>
      </c>
      <c r="B5" s="9">
        <f>SUM(B2:B4)</f>
        <v/>
      </c>
      <c r="C5" s="8">
        <f>B5/SUM($B5,$D5,$F5,$H5)</f>
        <v/>
      </c>
      <c r="D5" s="9">
        <f>SUM(D2:D4)</f>
        <v/>
      </c>
      <c r="E5" s="8">
        <f>D5/SUM($B5,$D5,$F5,$H5)</f>
        <v/>
      </c>
      <c r="F5" s="9">
        <f>SUM(F2:F4)</f>
        <v/>
      </c>
      <c r="G5" s="8">
        <f>F5/SUM($B5,$D5,$F5,$H5)</f>
        <v/>
      </c>
      <c r="H5" s="9">
        <f>SUM(H2:H4)</f>
        <v/>
      </c>
      <c r="I5" s="8">
        <f>H5/SUM($B5,$D5,$F5,$H5)</f>
        <v/>
      </c>
      <c r="J5" s="9">
        <f>SUM(J2:J4)</f>
        <v/>
      </c>
      <c r="AC5" s="4" t="n"/>
      <c r="AD5" s="7" t="inlineStr">
        <is>
          <t>=</t>
        </is>
      </c>
      <c r="AE5" s="7">
        <f>VLOOKUP(AD5,INDIRECT("'Form 1 - Município'!$B$2:$E$70"),4,FALSE)</f>
        <v/>
      </c>
      <c r="AF5" s="4" t="n"/>
      <c r="AG5" s="7" t="inlineStr">
        <is>
          <t>=</t>
        </is>
      </c>
      <c r="AH5" s="7">
        <f>VLOOKUP(AG5,INDIRECT("'Form 2 - UVR'!$B$2:$E$70"),4,FALSE)</f>
        <v/>
      </c>
      <c r="AJ5" s="7" t="inlineStr">
        <is>
          <t>=</t>
        </is>
      </c>
      <c r="AK5" s="7">
        <f>VLOOKUP(AJ5,INDIRECT("'Form 3 - Empreendimento'!$B$2:$E$70"),4,FALSE)</f>
        <v/>
      </c>
    </row>
    <row r="6">
      <c r="A6" s="4" t="n"/>
      <c r="B6" s="4" t="n"/>
      <c r="C6" s="4" t="n"/>
      <c r="D6" s="4" t="n"/>
      <c r="E6" s="4" t="n"/>
      <c r="F6" s="4" t="n"/>
      <c r="G6" s="4" t="n"/>
      <c r="H6" s="4" t="n"/>
      <c r="I6" s="4" t="n"/>
      <c r="J6" s="4" t="n"/>
      <c r="AC6" s="4" t="n"/>
      <c r="AD6" s="7" t="inlineStr">
        <is>
          <t>=</t>
        </is>
      </c>
      <c r="AE6" s="7">
        <f>VLOOKUP(AD6,INDIRECT("'Form 1 - Município'!$B$2:$E$70"),4,FALSE)</f>
        <v/>
      </c>
      <c r="AF6" s="4" t="n"/>
      <c r="AG6" s="7" t="inlineStr">
        <is>
          <t>=</t>
        </is>
      </c>
      <c r="AH6" s="7">
        <f>VLOOKUP(AG6,INDIRECT("'Form 2 - UVR'!$B$2:$E$70"),4,FALSE)</f>
        <v/>
      </c>
      <c r="AJ6" s="7" t="inlineStr">
        <is>
          <t>=</t>
        </is>
      </c>
      <c r="AK6" s="7">
        <f>VLOOKUP(AJ6,INDIRECT("'Form 3 - Empreendimento'!$B$2:$E$70"),4,FALSE)</f>
        <v/>
      </c>
    </row>
    <row r="7">
      <c r="A7" s="4" t="n"/>
      <c r="B7" s="4" t="n"/>
      <c r="C7" s="4" t="n"/>
      <c r="D7" s="4" t="n"/>
      <c r="E7" s="4" t="n"/>
      <c r="F7" s="4" t="n"/>
      <c r="G7" s="4" t="n"/>
      <c r="H7" s="4" t="n"/>
      <c r="I7" s="4" t="n"/>
      <c r="J7" s="4" t="n"/>
      <c r="AC7" s="4" t="n"/>
      <c r="AD7" s="7" t="inlineStr">
        <is>
          <t>=</t>
        </is>
      </c>
      <c r="AE7" s="7">
        <f>VLOOKUP(AD7,INDIRECT("'Form 1 - Município'!$B$2:$E$70"),4,FALSE)</f>
        <v/>
      </c>
      <c r="AF7" s="4" t="n"/>
      <c r="AG7" s="7" t="inlineStr">
        <is>
          <t>=</t>
        </is>
      </c>
      <c r="AH7" s="7">
        <f>VLOOKUP(AG7,INDIRECT("'Form 2 - UVR'!$B$2:$E$70"),4,FALSE)</f>
        <v/>
      </c>
      <c r="AJ7" s="7" t="inlineStr">
        <is>
          <t>=</t>
        </is>
      </c>
      <c r="AK7" s="7">
        <f>VLOOKUP(AJ7,INDIRECT("'Form 3 - Empreendimento'!$B$2:$E$70"),4,FALSE)</f>
        <v/>
      </c>
    </row>
    <row r="8">
      <c r="A8" s="4" t="n"/>
      <c r="B8" s="4" t="n"/>
      <c r="C8" s="4" t="n"/>
      <c r="D8" s="4" t="n"/>
      <c r="E8" s="4" t="n"/>
      <c r="F8" s="4" t="n"/>
      <c r="G8" s="4" t="n"/>
      <c r="H8" s="4" t="n"/>
      <c r="I8" s="4" t="n"/>
      <c r="J8" s="4" t="n"/>
      <c r="AC8" s="4" t="n"/>
      <c r="AD8" s="7" t="inlineStr">
        <is>
          <t>=</t>
        </is>
      </c>
      <c r="AE8" s="7">
        <f>VLOOKUP(AD8,INDIRECT("'Form 1 - Município'!$B$2:$E$70"),4,FALSE)</f>
        <v/>
      </c>
      <c r="AF8" s="4" t="n"/>
      <c r="AG8" s="7" t="inlineStr">
        <is>
          <t>=</t>
        </is>
      </c>
      <c r="AH8" s="7">
        <f>VLOOKUP(AG8,INDIRECT("'Form 2 - UVR'!$B$2:$E$70"),4,FALSE)</f>
        <v/>
      </c>
      <c r="AJ8" s="7" t="inlineStr">
        <is>
          <t>=</t>
        </is>
      </c>
      <c r="AK8" s="7">
        <f>VLOOKUP(AJ8,INDIRECT("'Form 3 - Empreendimento'!$B$2:$E$70"),4,FALSE)</f>
        <v/>
      </c>
    </row>
    <row r="9" ht="18.75" customHeight="1">
      <c r="A9" s="1" t="inlineStr">
        <is>
          <t>Formulário</t>
        </is>
      </c>
      <c r="B9" s="1" t="inlineStr">
        <is>
          <t>Validados</t>
        </is>
      </c>
      <c r="C9" s="1" t="inlineStr">
        <is>
          <t>%</t>
        </is>
      </c>
      <c r="D9" s="4" t="n"/>
      <c r="E9" s="4" t="n"/>
      <c r="F9" s="4" t="n"/>
      <c r="G9" s="4" t="n"/>
      <c r="H9" s="4" t="n"/>
      <c r="I9" s="4" t="n"/>
      <c r="J9" s="4" t="n"/>
      <c r="AC9" s="4" t="n"/>
      <c r="AD9" s="7" t="inlineStr">
        <is>
          <t>=</t>
        </is>
      </c>
      <c r="AE9" s="7">
        <f>VLOOKUP(AD9,INDIRECT("'Form 1 - Município'!$B$2:$E$70"),4,FALSE)</f>
        <v/>
      </c>
      <c r="AF9" s="4" t="n"/>
      <c r="AG9" s="7" t="inlineStr">
        <is>
          <t>=</t>
        </is>
      </c>
      <c r="AH9" s="7">
        <f>VLOOKUP(AG9,INDIRECT("'Form 2 - UVR'!$B$2:$E$70"),4,FALSE)</f>
        <v/>
      </c>
      <c r="AJ9" s="7" t="inlineStr">
        <is>
          <t>=</t>
        </is>
      </c>
      <c r="AK9" s="7">
        <f>VLOOKUP(AJ9,INDIRECT("'Form 3 - Empreendimento'!$B$2:$E$70"),4,FALSE)</f>
        <v/>
      </c>
    </row>
    <row r="10" ht="15.75" customHeight="1">
      <c r="A10" s="12" t="inlineStr">
        <is>
          <t>1 - Município</t>
        </is>
      </c>
      <c r="B10" s="7">
        <f>COUNTIF(INDIRECT("'Form 1 - Município'!G2:G100"),"Sim")</f>
        <v/>
      </c>
      <c r="C10" s="8">
        <f>$B$10/(COUNTA(INDIRECT("'Form 1 - Município'!B2:B70")))</f>
        <v/>
      </c>
      <c r="D10" s="4" t="n"/>
      <c r="E10" s="4" t="n"/>
      <c r="F10" s="4" t="n"/>
      <c r="G10" s="4" t="n"/>
      <c r="H10" s="4" t="n"/>
      <c r="I10" s="4" t="n"/>
      <c r="J10" s="4" t="n"/>
      <c r="AC10" s="4" t="n"/>
      <c r="AD10" s="7" t="inlineStr">
        <is>
          <t>=</t>
        </is>
      </c>
      <c r="AE10" s="7">
        <f>VLOOKUP(AD10,INDIRECT("'Form 1 - Município'!$B$2:$E$70"),4,FALSE)</f>
        <v/>
      </c>
      <c r="AF10" s="4" t="n"/>
      <c r="AG10" s="7" t="inlineStr">
        <is>
          <t>=</t>
        </is>
      </c>
      <c r="AH10" s="7">
        <f>VLOOKUP(AG10,INDIRECT("'Form 2 - UVR'!$B$2:$E$70"),4,FALSE)</f>
        <v/>
      </c>
      <c r="AJ10" s="7" t="inlineStr">
        <is>
          <t>=</t>
        </is>
      </c>
      <c r="AK10" s="7">
        <f>VLOOKUP(AJ10,INDIRECT("'Form 3 - Empreendimento'!$B$2:$E$70"),4,FALSE)</f>
        <v/>
      </c>
    </row>
    <row r="11" ht="15.75" customHeight="1">
      <c r="A11" s="12" t="inlineStr">
        <is>
          <t>2 - UVR</t>
        </is>
      </c>
      <c r="B11" s="7">
        <f>COUNTIF(INDIRECT("'Form 2 - UVR'!G2:G100"),"Sim")</f>
        <v/>
      </c>
      <c r="C11" s="8">
        <f>$B$11/(COUNTA(INDIRECT("'Form 2 - UVR'!B2:B70")))</f>
        <v/>
      </c>
      <c r="D11" s="4" t="n"/>
      <c r="E11" s="4" t="n"/>
      <c r="F11" s="4" t="n"/>
      <c r="G11" s="4" t="n"/>
      <c r="H11" s="4" t="n"/>
      <c r="I11" s="4" t="n"/>
      <c r="J11" s="4" t="n"/>
      <c r="AC11" s="4" t="n"/>
      <c r="AD11" s="7" t="inlineStr">
        <is>
          <t>=</t>
        </is>
      </c>
      <c r="AE11" s="7">
        <f>VLOOKUP(AD11,INDIRECT("'Form 1 - Município'!$B$2:$E$70"),4,FALSE)</f>
        <v/>
      </c>
      <c r="AF11" s="4" t="n"/>
      <c r="AG11" s="7" t="inlineStr">
        <is>
          <t>=</t>
        </is>
      </c>
      <c r="AH11" s="7">
        <f>VLOOKUP(AG11,INDIRECT("'Form 2 - UVR'!$B$2:$E$70"),4,FALSE)</f>
        <v/>
      </c>
      <c r="AJ11" s="7" t="inlineStr">
        <is>
          <t>=</t>
        </is>
      </c>
      <c r="AK11" s="7">
        <f>VLOOKUP(AJ11,INDIRECT("'Form 3 - Empreendimento'!$B$2:$E$70"),4,FALSE)</f>
        <v/>
      </c>
    </row>
    <row r="12" ht="15.75" customHeight="1">
      <c r="A12" s="12" t="inlineStr">
        <is>
          <t>3 - Empreendimento</t>
        </is>
      </c>
      <c r="B12" s="7">
        <f>COUNTIF(INDIRECT("'Form 3 - Empreendimento'!G2:G100"),"Sim")</f>
        <v/>
      </c>
      <c r="C12" s="8">
        <f>$B$12/(COUNTA(INDIRECT("'Form 3 - Empreendimento'!B2:B70")))</f>
        <v/>
      </c>
      <c r="D12" s="4" t="n"/>
      <c r="E12" s="4" t="n"/>
      <c r="F12" s="4" t="n"/>
      <c r="G12" s="4" t="n"/>
      <c r="H12" s="4" t="n"/>
      <c r="I12" s="4" t="n"/>
      <c r="J12" s="4" t="n"/>
      <c r="AC12" s="4" t="n"/>
      <c r="AD12" s="7" t="inlineStr">
        <is>
          <t>=</t>
        </is>
      </c>
      <c r="AE12" s="7">
        <f>VLOOKUP(AD12,INDIRECT("'Form 1 - Município'!$B$2:$E$70"),4,FALSE)</f>
        <v/>
      </c>
      <c r="AF12" s="4" t="n"/>
      <c r="AG12" s="7" t="inlineStr">
        <is>
          <t>=</t>
        </is>
      </c>
      <c r="AH12" s="7">
        <f>VLOOKUP(AG12,INDIRECT("'Form 2 - UVR'!$B$2:$E$70"),4,FALSE)</f>
        <v/>
      </c>
      <c r="AJ12" s="7" t="inlineStr">
        <is>
          <t>=</t>
        </is>
      </c>
      <c r="AK12" s="7">
        <f>VLOOKUP(AJ12,INDIRECT("'Form 3 - Empreendimento'!$B$2:$E$70"),4,FALSE)</f>
        <v/>
      </c>
    </row>
    <row r="13">
      <c r="A13" s="4" t="n"/>
      <c r="B13" s="4" t="n"/>
      <c r="C13" s="4" t="n"/>
      <c r="D13" s="4" t="n"/>
      <c r="E13" s="4" t="n"/>
      <c r="F13" s="4" t="n"/>
      <c r="G13" s="4" t="n"/>
      <c r="H13" s="4" t="n"/>
      <c r="I13" s="4" t="n"/>
      <c r="J13" s="4" t="n"/>
      <c r="AC13" s="4" t="n"/>
      <c r="AD13" s="7" t="inlineStr">
        <is>
          <t>=</t>
        </is>
      </c>
      <c r="AE13" s="7">
        <f>VLOOKUP(AD13,INDIRECT("'Form 1 - Município'!$B$2:$E$70"),4,FALSE)</f>
        <v/>
      </c>
      <c r="AF13" s="4" t="n"/>
      <c r="AG13" s="7" t="inlineStr">
        <is>
          <t>=</t>
        </is>
      </c>
      <c r="AH13" s="7">
        <f>VLOOKUP(AG13,INDIRECT("'Form 2 - UVR'!$B$2:$E$70"),4,FALSE)</f>
        <v/>
      </c>
      <c r="AJ13" s="7" t="inlineStr">
        <is>
          <t>=</t>
        </is>
      </c>
      <c r="AK13" s="7">
        <f>VLOOKUP(AJ13,INDIRECT("'Form 3 - Empreendimento'!$B$2:$E$70"),4,FALSE)</f>
        <v/>
      </c>
    </row>
    <row r="14">
      <c r="A14" s="4" t="n"/>
      <c r="B14" s="4" t="n"/>
      <c r="C14" s="4" t="n"/>
      <c r="D14" s="4" t="n"/>
      <c r="E14" s="4" t="n"/>
      <c r="F14" s="4" t="n"/>
      <c r="G14" s="4" t="n"/>
      <c r="H14" s="4" t="n"/>
      <c r="I14" s="4" t="n"/>
      <c r="J14" s="4" t="n"/>
      <c r="AC14" s="4" t="n"/>
      <c r="AD14" s="7" t="inlineStr">
        <is>
          <t>=</t>
        </is>
      </c>
      <c r="AE14" s="7">
        <f>VLOOKUP(AD14,INDIRECT("'Form 1 - Município'!$B$2:$E$70"),4,FALSE)</f>
        <v/>
      </c>
      <c r="AF14" s="4" t="n"/>
      <c r="AG14" s="7" t="inlineStr">
        <is>
          <t>=</t>
        </is>
      </c>
      <c r="AH14" s="7">
        <f>VLOOKUP(AG14,INDIRECT("'Form 2 - UVR'!$B$2:$E$70"),4,FALSE)</f>
        <v/>
      </c>
      <c r="AJ14" s="7" t="inlineStr">
        <is>
          <t>=</t>
        </is>
      </c>
      <c r="AK14" s="7">
        <f>VLOOKUP(AJ14,INDIRECT("'Form 3 - Empreendimento'!$B$2:$E$70"),4,FALSE)</f>
        <v/>
      </c>
    </row>
    <row r="15" ht="15.75" customHeight="1">
      <c r="A15" s="13" t="inlineStr">
        <is>
          <t>Regional</t>
        </is>
      </c>
      <c r="B15" s="14" t="inlineStr">
        <is>
          <t>Form 1 - Município</t>
        </is>
      </c>
      <c r="C15" s="6" t="n"/>
      <c r="D15" s="14" t="inlineStr">
        <is>
          <t>Form 2 - UVR</t>
        </is>
      </c>
      <c r="E15" s="6" t="n"/>
      <c r="F15" s="14" t="inlineStr">
        <is>
          <t>Form 3 - Empreendimento</t>
        </is>
      </c>
      <c r="G15" s="6" t="n"/>
      <c r="H15" s="4" t="n"/>
      <c r="I15" s="4" t="n"/>
      <c r="J15" s="4" t="n"/>
      <c r="AC15" s="4" t="n"/>
      <c r="AD15" s="7" t="inlineStr">
        <is>
          <t>=</t>
        </is>
      </c>
      <c r="AE15" s="7">
        <f>VLOOKUP(AD15,INDIRECT("'Form 1 - Município'!$B$2:$E$70"),4,FALSE)</f>
        <v/>
      </c>
      <c r="AF15" s="4" t="n"/>
      <c r="AG15" s="7" t="inlineStr">
        <is>
          <t>=</t>
        </is>
      </c>
      <c r="AH15" s="7">
        <f>VLOOKUP(AG15,INDIRECT("'Form 2 - UVR'!$B$2:$E$70"),4,FALSE)</f>
        <v/>
      </c>
      <c r="AJ15" s="7" t="inlineStr">
        <is>
          <t>=</t>
        </is>
      </c>
      <c r="AK15" s="7">
        <f>VLOOKUP(AJ15,INDIRECT("'Form 3 - Empreendimento'!$B$2:$E$70"),4,FALSE)</f>
        <v/>
      </c>
    </row>
    <row r="16" ht="15.75" customHeight="1">
      <c r="A16" s="15" t="n"/>
      <c r="B16" s="1" t="inlineStr">
        <is>
          <t>Validados</t>
        </is>
      </c>
      <c r="C16" s="1" t="inlineStr">
        <is>
          <t>%</t>
        </is>
      </c>
      <c r="D16" s="1" t="inlineStr">
        <is>
          <t>Validados</t>
        </is>
      </c>
      <c r="E16" s="1" t="inlineStr">
        <is>
          <t>%</t>
        </is>
      </c>
      <c r="F16" s="1" t="inlineStr">
        <is>
          <t>Validados</t>
        </is>
      </c>
      <c r="G16" s="1" t="inlineStr">
        <is>
          <t>%</t>
        </is>
      </c>
      <c r="H16" s="4" t="n"/>
      <c r="I16" s="4" t="n"/>
      <c r="J16" s="4" t="n"/>
      <c r="AC16" s="4" t="n"/>
      <c r="AD16" s="7" t="inlineStr">
        <is>
          <t>=</t>
        </is>
      </c>
      <c r="AE16" s="7">
        <f>VLOOKUP(AD16,INDIRECT("'Form 1 - Município'!$B$2:$E$70"),4,FALSE)</f>
        <v/>
      </c>
      <c r="AF16" s="4" t="n"/>
      <c r="AG16" s="7" t="inlineStr">
        <is>
          <t>=</t>
        </is>
      </c>
      <c r="AH16" s="7">
        <f>VLOOKUP(AG16,INDIRECT("'Form 2 - UVR'!$B$2:$E$70"),4,FALSE)</f>
        <v/>
      </c>
      <c r="AJ16" s="7" t="inlineStr">
        <is>
          <t>=</t>
        </is>
      </c>
      <c r="AK16" s="7">
        <f>VLOOKUP(AJ16,INDIRECT("'Form 3 - Empreendimento'!$B$2:$E$70"),4,FALSE)</f>
        <v/>
      </c>
    </row>
    <row r="17">
      <c r="A17" s="16" t="inlineStr">
        <is>
          <t>Bianca</t>
        </is>
      </c>
      <c r="B17" s="7">
        <f t="array" ref="B17">IFERROR(ROWS(_xlfn._xlws.FILTER(INDIRECT("'"&amp;B$15&amp;"'!A2:K100"),(INDIRECT("'"&amp;B$15&amp;"'!A2:A100")=$A17) * (INDIRECT("'"&amp;B$15&amp;"'!G2:G100")="Sim"))), 0)</f>
        <v/>
      </c>
      <c r="C17" s="8">
        <f>B17/(COUNTA(INDIRECT("'Form 1 - Município'!B2:B70")))</f>
        <v/>
      </c>
      <c r="D17" s="7">
        <f t="array" ref="D17">IFERROR(ROWS(_xlfn._xlws.FILTER(INDIRECT("'"&amp;D$15&amp;"'!A2:K100"),(INDIRECT("'"&amp;D$15&amp;"'!A2:A100")=$A17) * (INDIRECT("'"&amp;D$15&amp;"'!G2:G100")="Sim"))), 0)</f>
        <v/>
      </c>
      <c r="E17" s="8">
        <f>D17/(COUNTA(INDIRECT("'Form 2 - UVR'!B2:B70")))</f>
        <v/>
      </c>
      <c r="F17" s="7">
        <f t="array" ref="F17">IFERROR(ROWS(_xlfn._xlws.FILTER(INDIRECT("'"&amp;F$15&amp;"'!A2:K100"),(INDIRECT("'"&amp;F$15&amp;"'!A2:A100")=$A17) * (INDIRECT("'"&amp;F$15&amp;"'!G2:G100")="Sim"))), 0)</f>
        <v/>
      </c>
      <c r="G17" s="8">
        <f>F17/(COUNTA(INDIRECT("'Form 3 - Empreendimento'!B2:B70")))</f>
        <v/>
      </c>
      <c r="H17" s="4" t="n"/>
      <c r="I17" s="4" t="n"/>
      <c r="J17" s="4" t="n"/>
      <c r="AC17" s="4" t="n"/>
      <c r="AD17" s="7" t="inlineStr">
        <is>
          <t>=</t>
        </is>
      </c>
      <c r="AE17" s="7">
        <f>VLOOKUP(AD17,INDIRECT("'Form 1 - Município'!$B$2:$E$70"),4,FALSE)</f>
        <v/>
      </c>
      <c r="AF17" s="4" t="n"/>
      <c r="AG17" s="7" t="inlineStr">
        <is>
          <t>=</t>
        </is>
      </c>
      <c r="AH17" s="7">
        <f>VLOOKUP(AG17,INDIRECT("'Form 2 - UVR'!$B$2:$E$70"),4,FALSE)</f>
        <v/>
      </c>
      <c r="AJ17" s="7" t="inlineStr">
        <is>
          <t>=</t>
        </is>
      </c>
      <c r="AK17" s="7">
        <f>VLOOKUP(AJ17,INDIRECT("'Form 3 - Empreendimento'!$B$2:$E$70"),4,FALSE)</f>
        <v/>
      </c>
    </row>
    <row r="18">
      <c r="A18" s="17" t="inlineStr">
        <is>
          <t>Gabriel</t>
        </is>
      </c>
      <c r="B18" s="7">
        <f t="array" ref="B18">IFERROR(ROWS(_xlfn._xlws.FILTER(INDIRECT("'"&amp;B$15&amp;"'!A2:K100"),(INDIRECT("'"&amp;B$15&amp;"'!A2:A100")=$A18) * (INDIRECT("'"&amp;B$15&amp;"'!G2:G100")="Sim"))), 0)</f>
        <v/>
      </c>
      <c r="C18" s="8">
        <f>B18/(COUNTA(INDIRECT("'Form 1 - Município'!B2:B70")))</f>
        <v/>
      </c>
      <c r="D18" s="7">
        <f t="array" ref="D18">IFERROR(ROWS(_xlfn._xlws.FILTER(INDIRECT("'"&amp;D$15&amp;"'!A2:K100"),(INDIRECT("'"&amp;D$15&amp;"'!A2:A100")=$A18) * (INDIRECT("'"&amp;D$15&amp;"'!G2:G100")="Sim"))), 0)</f>
        <v/>
      </c>
      <c r="E18" s="8">
        <f>D18/(COUNTA(INDIRECT("'Form 2 - UVR'!B2:B70")))</f>
        <v/>
      </c>
      <c r="F18" s="7">
        <f t="array" ref="F18">IFERROR(ROWS(_xlfn._xlws.FILTER(INDIRECT("'"&amp;F$15&amp;"'!A2:K100"),(INDIRECT("'"&amp;F$15&amp;"'!A2:A100")=$A18) * (INDIRECT("'"&amp;F$15&amp;"'!G2:G100")="Sim"))), 0)</f>
        <v/>
      </c>
      <c r="G18" s="8">
        <f>F18/(COUNTA(INDIRECT("'Form 3 - Empreendimento'!B2:B70")))</f>
        <v/>
      </c>
      <c r="H18" s="18" t="n"/>
      <c r="I18" s="18" t="n"/>
      <c r="J18" s="4" t="n"/>
      <c r="AC18" s="4" t="n"/>
      <c r="AD18" s="7" t="inlineStr">
        <is>
          <t>=</t>
        </is>
      </c>
      <c r="AE18" s="7">
        <f>VLOOKUP(AD18,INDIRECT("'Form 1 - Município'!$B$2:$E$70"),4,FALSE)</f>
        <v/>
      </c>
      <c r="AF18" s="4" t="n"/>
      <c r="AG18" s="7" t="inlineStr">
        <is>
          <t>=</t>
        </is>
      </c>
      <c r="AH18" s="7">
        <f>VLOOKUP(AG18,INDIRECT("'Form 2 - UVR'!$B$2:$E$70"),4,FALSE)</f>
        <v/>
      </c>
      <c r="AJ18" s="7" t="inlineStr">
        <is>
          <t>=</t>
        </is>
      </c>
      <c r="AK18" s="7">
        <f>VLOOKUP(AJ18,INDIRECT("'Form 3 - Empreendimento'!$B$2:$E$70"),4,FALSE)</f>
        <v/>
      </c>
    </row>
    <row r="19">
      <c r="A19" s="19" t="inlineStr">
        <is>
          <t>Gustavo</t>
        </is>
      </c>
      <c r="B19" s="7">
        <f t="array" ref="B19">IFERROR(ROWS(_xlfn._xlws.FILTER(INDIRECT("'"&amp;B$15&amp;"'!A2:K100"),(INDIRECT("'"&amp;B$15&amp;"'!A2:A100")=$A19) * (INDIRECT("'"&amp;B$15&amp;"'!G2:G100")="Sim"))), 0)</f>
        <v/>
      </c>
      <c r="C19" s="8">
        <f>B19/(COUNTA(INDIRECT("'Form 1 - Município'!B2:B70")))</f>
        <v/>
      </c>
      <c r="D19" s="7">
        <f t="array" ref="D19">IFERROR(ROWS(_xlfn._xlws.FILTER(INDIRECT("'"&amp;D$15&amp;"'!A2:K100"),(INDIRECT("'"&amp;D$15&amp;"'!A2:A100")=$A19) * (INDIRECT("'"&amp;D$15&amp;"'!G2:G100")="Sim"))), 0)</f>
        <v/>
      </c>
      <c r="E19" s="8">
        <f>D19/(COUNTA(INDIRECT("'Form 2 - UVR'!B2:B70")))</f>
        <v/>
      </c>
      <c r="F19" s="7">
        <f t="array" ref="F19">IFERROR(ROWS(_xlfn._xlws.FILTER(INDIRECT("'"&amp;F$15&amp;"'!A2:K100"),(INDIRECT("'"&amp;F$15&amp;"'!A2:A100")=$A19) * (INDIRECT("'"&amp;F$15&amp;"'!G2:G100")="Sim"))), 0)</f>
        <v/>
      </c>
      <c r="G19" s="8">
        <f>F19/(COUNTA(INDIRECT("'Form 3 - Empreendimento'!B2:B70")))</f>
        <v/>
      </c>
      <c r="H19" s="18" t="n"/>
      <c r="I19" s="18" t="n"/>
      <c r="J19" s="4" t="n"/>
      <c r="AC19" s="4" t="n"/>
      <c r="AD19" s="7" t="inlineStr">
        <is>
          <t>=</t>
        </is>
      </c>
      <c r="AE19" s="7">
        <f>VLOOKUP(AD19,INDIRECT("'Form 1 - Município'!$B$2:$E$70"),4,FALSE)</f>
        <v/>
      </c>
      <c r="AF19" s="4" t="n"/>
      <c r="AG19" s="7" t="inlineStr">
        <is>
          <t>=</t>
        </is>
      </c>
      <c r="AH19" s="7">
        <f>VLOOKUP(AG19,INDIRECT("'Form 2 - UVR'!$B$2:$E$70"),4,FALSE)</f>
        <v/>
      </c>
      <c r="AJ19" s="7" t="inlineStr">
        <is>
          <t>=</t>
        </is>
      </c>
      <c r="AK19" s="7">
        <f>VLOOKUP(AJ19,INDIRECT("'Form 3 - Empreendimento'!$B$2:$E$70"),4,FALSE)</f>
        <v/>
      </c>
    </row>
    <row r="20">
      <c r="A20" s="20" t="inlineStr">
        <is>
          <t>Larissa</t>
        </is>
      </c>
      <c r="B20" s="7">
        <f t="array" ref="B20">IFERROR(ROWS(_xlfn._xlws.FILTER(INDIRECT("'"&amp;B$15&amp;"'!A2:K100"),(INDIRECT("'"&amp;B$15&amp;"'!A2:A100")=$A20) * (INDIRECT("'"&amp;B$15&amp;"'!G2:G100")="Sim"))), 0)</f>
        <v/>
      </c>
      <c r="C20" s="8">
        <f>B20/(COUNTA(INDIRECT("'Form 1 - Município'!B2:B70")))</f>
        <v/>
      </c>
      <c r="D20" s="7">
        <f t="array" ref="D20">IFERROR(ROWS(_xlfn._xlws.FILTER(INDIRECT("'"&amp;D$15&amp;"'!A2:K100"),(INDIRECT("'"&amp;D$15&amp;"'!A2:A100")=$A20) * (INDIRECT("'"&amp;D$15&amp;"'!G2:G100")="Sim"))), 0)</f>
        <v/>
      </c>
      <c r="E20" s="8">
        <f>D20/(COUNTA(INDIRECT("'Form 2 - UVR'!B2:B70")))</f>
        <v/>
      </c>
      <c r="F20" s="7">
        <f t="array" ref="F20">IFERROR(ROWS(_xlfn._xlws.FILTER(INDIRECT("'"&amp;F$15&amp;"'!A2:K100"),(INDIRECT("'"&amp;F$15&amp;"'!A2:A100")=$A20) * (INDIRECT("'"&amp;F$15&amp;"'!G2:G100")="Sim"))), 0)</f>
        <v/>
      </c>
      <c r="G20" s="8">
        <f>F20/(COUNTA(INDIRECT("'Form 3 - Empreendimento'!B2:B70")))</f>
        <v/>
      </c>
      <c r="H20" s="18" t="n"/>
      <c r="I20" s="18" t="n"/>
      <c r="J20" s="4" t="n"/>
      <c r="AC20" s="4" t="n"/>
      <c r="AD20" s="7" t="inlineStr">
        <is>
          <t>=</t>
        </is>
      </c>
      <c r="AE20" s="7">
        <f>VLOOKUP(AD20,INDIRECT("'Form 1 - Município'!$B$2:$E$70"),4,FALSE)</f>
        <v/>
      </c>
      <c r="AF20" s="4" t="n"/>
      <c r="AG20" s="7" t="inlineStr">
        <is>
          <t>=</t>
        </is>
      </c>
      <c r="AH20" s="7">
        <f>VLOOKUP(AG20,INDIRECT("'Form 2 - UVR'!$B$2:$E$70"),4,FALSE)</f>
        <v/>
      </c>
      <c r="AJ20" s="7" t="inlineStr">
        <is>
          <t>=</t>
        </is>
      </c>
      <c r="AK20" s="7">
        <f>VLOOKUP(AJ20,INDIRECT("'Form 3 - Empreendimento'!$B$2:$E$70"),4,FALSE)</f>
        <v/>
      </c>
    </row>
    <row r="21">
      <c r="A21" s="21" t="inlineStr">
        <is>
          <t>Luana</t>
        </is>
      </c>
      <c r="B21" s="7">
        <f t="array" ref="B21">IFERROR(ROWS(_xlfn._xlws.FILTER(INDIRECT("'"&amp;B$15&amp;"'!A2:K100"),(INDIRECT("'"&amp;B$15&amp;"'!A2:A100")=$A21) * (INDIRECT("'"&amp;B$15&amp;"'!G2:G100")="Sim"))), 0)</f>
        <v/>
      </c>
      <c r="C21" s="8">
        <f>B21/(COUNTA(INDIRECT("'Form 1 - Município'!B2:B70")))</f>
        <v/>
      </c>
      <c r="D21" s="7">
        <f t="array" ref="D21">IFERROR(ROWS(_xlfn._xlws.FILTER(INDIRECT("'"&amp;D$15&amp;"'!A2:K100"),(INDIRECT("'"&amp;D$15&amp;"'!A2:A100")=$A21) * (INDIRECT("'"&amp;D$15&amp;"'!G2:G100")="Sim"))), 0)</f>
        <v/>
      </c>
      <c r="E21" s="8">
        <f>D21/(COUNTA(INDIRECT("'Form 2 - UVR'!B2:B70")))</f>
        <v/>
      </c>
      <c r="F21" s="7">
        <f t="array" ref="F21">IFERROR(ROWS(_xlfn._xlws.FILTER(INDIRECT("'"&amp;F$15&amp;"'!A2:K100"),(INDIRECT("'"&amp;F$15&amp;"'!A2:A100")=$A21) * (INDIRECT("'"&amp;F$15&amp;"'!G2:G100")="Sim"))), 0)</f>
        <v/>
      </c>
      <c r="G21" s="8">
        <f>F21/(COUNTA(INDIRECT("'Form 3 - Empreendimento'!B2:B70")))</f>
        <v/>
      </c>
      <c r="H21" s="18" t="n"/>
      <c r="I21" s="18" t="n"/>
      <c r="J21" s="4" t="n"/>
      <c r="AC21" s="4" t="n"/>
      <c r="AD21" s="7" t="inlineStr">
        <is>
          <t>=</t>
        </is>
      </c>
      <c r="AE21" s="7">
        <f>VLOOKUP(AD21,INDIRECT("'Form 1 - Município'!$B$2:$E$70"),4,FALSE)</f>
        <v/>
      </c>
      <c r="AF21" s="4" t="n"/>
      <c r="AG21" s="7" t="inlineStr">
        <is>
          <t>=</t>
        </is>
      </c>
      <c r="AH21" s="7">
        <f>VLOOKUP(AG21,INDIRECT("'Form 2 - UVR'!$B$2:$E$70"),4,FALSE)</f>
        <v/>
      </c>
      <c r="AJ21" s="7" t="inlineStr">
        <is>
          <t>=</t>
        </is>
      </c>
      <c r="AK21" s="7">
        <f>VLOOKUP(AJ21,INDIRECT("'Form 3 - Empreendimento'!$B$2:$E$70"),4,FALSE)</f>
        <v/>
      </c>
    </row>
    <row r="22">
      <c r="A22" s="22" t="inlineStr">
        <is>
          <t>Valquiria</t>
        </is>
      </c>
      <c r="B22" s="7">
        <f t="array" ref="B22">IFERROR(ROWS(_xlfn._xlws.FILTER(INDIRECT("'"&amp;B$15&amp;"'!A2:K100"),(INDIRECT("'"&amp;B$15&amp;"'!A2:A100")=$A22) * (INDIRECT("'"&amp;B$15&amp;"'!G2:G100")="Sim"))), 0)</f>
        <v/>
      </c>
      <c r="C22" s="8">
        <f>B22/(COUNTA(INDIRECT("'Form 1 - Município'!B2:B70")))</f>
        <v/>
      </c>
      <c r="D22" s="7">
        <f t="array" ref="D22">IFERROR(ROWS(_xlfn._xlws.FILTER(INDIRECT("'"&amp;D$15&amp;"'!A2:K100"),(INDIRECT("'"&amp;D$15&amp;"'!A2:A100")=$A22) * (INDIRECT("'"&amp;D$15&amp;"'!G2:G100")="Sim"))), 0)</f>
        <v/>
      </c>
      <c r="E22" s="8">
        <f>D22/(COUNTA(INDIRECT("'Form 2 - UVR'!B2:B70")))</f>
        <v/>
      </c>
      <c r="F22" s="7">
        <f t="array" ref="F22">IFERROR(ROWS(_xlfn._xlws.FILTER(INDIRECT("'"&amp;F$15&amp;"'!A2:K100"),(INDIRECT("'"&amp;F$15&amp;"'!A2:A100")=$A22) * (INDIRECT("'"&amp;F$15&amp;"'!G2:G100")="Sim"))), 0)</f>
        <v/>
      </c>
      <c r="G22" s="8">
        <f>F22/(COUNTA(INDIRECT("'Form 3 - Empreendimento'!B2:B70")))</f>
        <v/>
      </c>
      <c r="H22" s="23" t="n"/>
      <c r="I22" s="23" t="n"/>
      <c r="J22" s="4" t="n"/>
      <c r="AC22" s="4" t="n"/>
      <c r="AD22" s="7" t="inlineStr">
        <is>
          <t>=</t>
        </is>
      </c>
      <c r="AE22" s="7">
        <f>VLOOKUP(AD22,INDIRECT("'Form 1 - Município'!$B$2:$E$70"),4,FALSE)</f>
        <v/>
      </c>
      <c r="AF22" s="4" t="n"/>
      <c r="AG22" s="7" t="inlineStr">
        <is>
          <t>=</t>
        </is>
      </c>
      <c r="AH22" s="7">
        <f>VLOOKUP(AG22,INDIRECT("'Form 2 - UVR'!$B$2:$E$70"),4,FALSE)</f>
        <v/>
      </c>
      <c r="AJ22" s="7" t="inlineStr">
        <is>
          <t>=</t>
        </is>
      </c>
      <c r="AK22" s="7">
        <f>VLOOKUP(AJ22,INDIRECT("'Form 3 - Empreendimento'!$B$2:$E$70"),4,FALSE)</f>
        <v/>
      </c>
    </row>
    <row r="23">
      <c r="A23" s="24" t="inlineStr">
        <is>
          <t>Total</t>
        </is>
      </c>
      <c r="B23" s="9">
        <f>SUM(B17:B22)</f>
        <v/>
      </c>
      <c r="C23" s="25">
        <f>SUM(C17:C22)</f>
        <v/>
      </c>
      <c r="D23" s="9">
        <f>SUM(D17:D22)</f>
        <v/>
      </c>
      <c r="E23" s="25">
        <f>SUM(E17:E22)</f>
        <v/>
      </c>
      <c r="F23" s="9">
        <f>SUM(F17:F22)</f>
        <v/>
      </c>
      <c r="G23" s="25">
        <f>SUM(G17:G22)</f>
        <v/>
      </c>
      <c r="H23" s="4" t="n"/>
      <c r="I23" s="4" t="n"/>
      <c r="J23" s="4" t="n"/>
      <c r="AC23" s="4" t="n"/>
      <c r="AD23" s="7" t="inlineStr">
        <is>
          <t>=</t>
        </is>
      </c>
      <c r="AE23" s="7">
        <f>VLOOKUP(AD23,INDIRECT("'Form 1 - Município'!$B$2:$E$70"),4,FALSE)</f>
        <v/>
      </c>
      <c r="AF23" s="4" t="n"/>
      <c r="AG23" s="7" t="inlineStr">
        <is>
          <t>=</t>
        </is>
      </c>
      <c r="AH23" s="7">
        <f>VLOOKUP(AG23,INDIRECT("'Form 2 - UVR'!$B$2:$E$70"),4,FALSE)</f>
        <v/>
      </c>
      <c r="AJ23" s="7" t="inlineStr">
        <is>
          <t>=</t>
        </is>
      </c>
      <c r="AK23" s="7">
        <f>VLOOKUP(AJ23,INDIRECT("'Form 3 - Empreendimento'!$B$2:$E$70"),4,FALSE)</f>
        <v/>
      </c>
    </row>
    <row r="24">
      <c r="AC24" s="4" t="n"/>
      <c r="AD24" s="7" t="inlineStr">
        <is>
          <t>=</t>
        </is>
      </c>
      <c r="AE24" s="7">
        <f>VLOOKUP(AD24,INDIRECT("'Form 1 - Município'!$B$2:$E$70"),4,FALSE)</f>
        <v/>
      </c>
      <c r="AF24" s="4" t="n"/>
      <c r="AG24" s="7" t="inlineStr">
        <is>
          <t>=</t>
        </is>
      </c>
      <c r="AH24" s="7">
        <f>VLOOKUP(AG24,INDIRECT("'Form 2 - UVR'!$B$2:$E$70"),4,FALSE)</f>
        <v/>
      </c>
      <c r="AJ24" s="7" t="inlineStr">
        <is>
          <t>=</t>
        </is>
      </c>
      <c r="AK24" s="7">
        <f>VLOOKUP(AJ24,INDIRECT("'Form 3 - Empreendimento'!$B$2:$E$70"),4,FALSE)</f>
        <v/>
      </c>
    </row>
    <row r="25">
      <c r="A25" s="4" t="n"/>
      <c r="B25" s="4" t="n"/>
      <c r="C25" s="4" t="n"/>
      <c r="D25" s="4" t="n"/>
      <c r="E25" s="4" t="n"/>
      <c r="F25" s="4" t="n"/>
      <c r="G25" s="4" t="n"/>
      <c r="AC25" s="4" t="n"/>
      <c r="AD25" s="7" t="inlineStr">
        <is>
          <t>=</t>
        </is>
      </c>
      <c r="AE25" s="7">
        <f>VLOOKUP(AD25,INDIRECT("'Form 1 - Município'!$B$2:$E$70"),4,FALSE)</f>
        <v/>
      </c>
      <c r="AF25" s="4" t="n"/>
      <c r="AG25" s="7" t="inlineStr">
        <is>
          <t>=</t>
        </is>
      </c>
      <c r="AH25" s="7">
        <f>VLOOKUP(AG25,INDIRECT("'Form 2 - UVR'!$B$2:$E$70"),4,FALSE)</f>
        <v/>
      </c>
      <c r="AJ25" s="7" t="inlineStr">
        <is>
          <t>=</t>
        </is>
      </c>
      <c r="AK25" s="7">
        <f>VLOOKUP(AJ25,INDIRECT("'Form 3 - Empreendimento'!$B$2:$E$70"),4,FALSE)</f>
        <v/>
      </c>
    </row>
    <row r="26">
      <c r="A26" s="4" t="n"/>
      <c r="B26" s="4" t="n"/>
      <c r="C26" s="4" t="n"/>
      <c r="D26" s="4" t="n"/>
      <c r="E26" s="4" t="n"/>
      <c r="F26" s="4" t="n"/>
      <c r="G26" s="4" t="n"/>
      <c r="H26" s="4" t="n"/>
      <c r="AC26" s="4" t="n"/>
      <c r="AD26" s="7" t="inlineStr">
        <is>
          <t>=</t>
        </is>
      </c>
      <c r="AE26" s="7">
        <f>VLOOKUP(AD26,INDIRECT("'Form 1 - Município'!$B$2:$E$70"),4,FALSE)</f>
        <v/>
      </c>
      <c r="AF26" s="4" t="n"/>
      <c r="AG26" s="7" t="inlineStr">
        <is>
          <t>=</t>
        </is>
      </c>
      <c r="AH26" s="7">
        <f>VLOOKUP(AG26,INDIRECT("'Form 2 - UVR'!$B$2:$E$70"),4,FALSE)</f>
        <v/>
      </c>
      <c r="AJ26" s="7" t="inlineStr">
        <is>
          <t>=</t>
        </is>
      </c>
      <c r="AK26" s="7">
        <f>VLOOKUP(AJ26,INDIRECT("'Form 3 - Empreendimento'!$B$2:$E$70"),4,FALSE)</f>
        <v/>
      </c>
    </row>
    <row r="27">
      <c r="A27" s="4" t="n"/>
      <c r="B27" s="4" t="n"/>
      <c r="C27" s="4" t="n"/>
      <c r="D27" s="4" t="n"/>
      <c r="E27" s="4" t="n"/>
      <c r="F27" s="4" t="n"/>
      <c r="G27" s="4" t="n"/>
      <c r="H27" s="4" t="n"/>
      <c r="AC27" s="4" t="n"/>
      <c r="AD27" s="7" t="inlineStr">
        <is>
          <t>=</t>
        </is>
      </c>
      <c r="AE27" s="7">
        <f>VLOOKUP(AD27,INDIRECT("'Form 1 - Município'!$B$2:$E$70"),4,FALSE)</f>
        <v/>
      </c>
      <c r="AF27" s="4" t="n"/>
      <c r="AG27" s="7" t="inlineStr">
        <is>
          <t>=</t>
        </is>
      </c>
      <c r="AH27" s="7">
        <f>VLOOKUP(AG27,INDIRECT("'Form 2 - UVR'!$B$2:$E$70"),4,FALSE)</f>
        <v/>
      </c>
      <c r="AJ27" s="7" t="inlineStr">
        <is>
          <t>=</t>
        </is>
      </c>
      <c r="AK27" s="7">
        <f>VLOOKUP(AJ27,INDIRECT("'Form 3 - Empreendimento'!$B$2:$E$70"),4,FALSE)</f>
        <v/>
      </c>
    </row>
    <row r="28">
      <c r="A28" s="4" t="n"/>
      <c r="B28" s="4" t="n"/>
      <c r="C28" s="4" t="n"/>
      <c r="D28" s="4" t="n"/>
      <c r="E28" s="4" t="n"/>
      <c r="F28" s="4" t="n"/>
      <c r="G28" s="4" t="n"/>
      <c r="H28" s="4" t="n"/>
      <c r="AC28" s="4" t="n"/>
      <c r="AD28" s="7" t="inlineStr">
        <is>
          <t>=</t>
        </is>
      </c>
      <c r="AE28" s="7">
        <f>VLOOKUP(AD28,INDIRECT("'Form 1 - Município'!$B$2:$E$70"),4,FALSE)</f>
        <v/>
      </c>
      <c r="AF28" s="4" t="n"/>
      <c r="AG28" s="7" t="inlineStr">
        <is>
          <t>=</t>
        </is>
      </c>
      <c r="AH28" s="7">
        <f>VLOOKUP(AG28,INDIRECT("'Form 2 - UVR'!$B$2:$E$70"),4,FALSE)</f>
        <v/>
      </c>
      <c r="AJ28" s="7" t="inlineStr">
        <is>
          <t>=</t>
        </is>
      </c>
      <c r="AK28" s="7">
        <f>VLOOKUP(AJ28,INDIRECT("'Form 3 - Empreendimento'!$B$2:$E$70"),4,FALSE)</f>
        <v/>
      </c>
    </row>
    <row r="29">
      <c r="A29" s="4" t="n"/>
      <c r="B29" s="4" t="n"/>
      <c r="C29" s="4" t="n"/>
      <c r="D29" s="4" t="n"/>
      <c r="E29" s="4" t="n"/>
      <c r="F29" s="4" t="n"/>
      <c r="G29" s="4" t="n"/>
      <c r="H29" s="4" t="n"/>
      <c r="AC29" s="4" t="n"/>
      <c r="AD29" s="7" t="inlineStr">
        <is>
          <t>=</t>
        </is>
      </c>
      <c r="AE29" s="7">
        <f>VLOOKUP(AD29,INDIRECT("'Form 1 - Município'!$B$2:$E$70"),4,FALSE)</f>
        <v/>
      </c>
      <c r="AF29" s="4" t="n"/>
      <c r="AG29" s="7" t="inlineStr">
        <is>
          <t>=</t>
        </is>
      </c>
      <c r="AH29" s="7">
        <f>VLOOKUP(AG29,INDIRECT("'Form 2 - UVR'!$B$2:$E$70"),4,FALSE)</f>
        <v/>
      </c>
      <c r="AJ29" s="7" t="inlineStr">
        <is>
          <t>=</t>
        </is>
      </c>
      <c r="AK29" s="7">
        <f>VLOOKUP(AJ29,INDIRECT("'Form 3 - Empreendimento'!$B$2:$E$70"),4,FALSE)</f>
        <v/>
      </c>
    </row>
    <row r="30">
      <c r="A30" s="4" t="n"/>
      <c r="B30" s="4" t="n"/>
      <c r="C30" s="4" t="n"/>
      <c r="D30" s="4" t="n"/>
      <c r="E30" s="4" t="n"/>
      <c r="F30" s="4" t="n"/>
      <c r="G30" s="4" t="n"/>
      <c r="H30" s="4" t="n"/>
      <c r="AC30" s="4" t="n"/>
      <c r="AD30" s="7" t="inlineStr">
        <is>
          <t>=</t>
        </is>
      </c>
      <c r="AE30" s="7">
        <f>VLOOKUP(AD30,INDIRECT("'Form 1 - Município'!$B$2:$E$70"),4,FALSE)</f>
        <v/>
      </c>
      <c r="AF30" s="4" t="n"/>
      <c r="AG30" s="7" t="inlineStr">
        <is>
          <t>=</t>
        </is>
      </c>
      <c r="AH30" s="7">
        <f>VLOOKUP(AG30,INDIRECT("'Form 2 - UVR'!$B$2:$E$70"),4,FALSE)</f>
        <v/>
      </c>
      <c r="AJ30" s="7" t="inlineStr">
        <is>
          <t>=</t>
        </is>
      </c>
      <c r="AK30" s="7">
        <f>VLOOKUP(AJ30,INDIRECT("'Form 3 - Empreendimento'!$B$2:$E$70"),4,FALSE)</f>
        <v/>
      </c>
    </row>
    <row r="31">
      <c r="A31" s="4" t="n"/>
      <c r="B31" s="4" t="n"/>
      <c r="C31" s="4" t="n"/>
      <c r="D31" s="4" t="n"/>
      <c r="E31" s="4" t="n"/>
      <c r="F31" s="4" t="n"/>
      <c r="G31" s="4" t="n"/>
      <c r="H31" s="4" t="n"/>
      <c r="AC31" s="4" t="n"/>
      <c r="AD31" s="7" t="inlineStr">
        <is>
          <t>=</t>
        </is>
      </c>
      <c r="AE31" s="7">
        <f>VLOOKUP(AD31,INDIRECT("'Form 1 - Município'!$B$2:$E$70"),4,FALSE)</f>
        <v/>
      </c>
      <c r="AF31" s="4" t="n"/>
      <c r="AG31" s="7" t="inlineStr">
        <is>
          <t>=</t>
        </is>
      </c>
      <c r="AH31" s="7">
        <f>VLOOKUP(AG31,INDIRECT("'Form 2 - UVR'!$B$2:$E$70"),4,FALSE)</f>
        <v/>
      </c>
      <c r="AJ31" s="7" t="inlineStr">
        <is>
          <t>=</t>
        </is>
      </c>
      <c r="AK31" s="7">
        <f>VLOOKUP(AJ31,INDIRECT("'Form 3 - Empreendimento'!$B$2:$E$70"),4,FALSE)</f>
        <v/>
      </c>
    </row>
    <row r="32">
      <c r="A32" s="4" t="n"/>
      <c r="B32" s="4" t="n"/>
      <c r="C32" s="4" t="n"/>
      <c r="D32" s="4" t="n"/>
      <c r="E32" s="4" t="n"/>
      <c r="F32" s="4" t="n"/>
      <c r="G32" s="4" t="n"/>
      <c r="H32" s="4" t="n"/>
      <c r="AC32" s="4" t="n"/>
      <c r="AD32" s="7" t="inlineStr">
        <is>
          <t>=</t>
        </is>
      </c>
      <c r="AE32" s="7">
        <f>VLOOKUP(AD32,INDIRECT("'Form 1 - Município'!$B$2:$E$70"),4,FALSE)</f>
        <v/>
      </c>
      <c r="AF32" s="4" t="n"/>
      <c r="AG32" s="7" t="inlineStr">
        <is>
          <t>=</t>
        </is>
      </c>
      <c r="AH32" s="7">
        <f>VLOOKUP(AG32,INDIRECT("'Form 2 - UVR'!$B$2:$E$70"),4,FALSE)</f>
        <v/>
      </c>
      <c r="AJ32" s="7" t="inlineStr">
        <is>
          <t>=</t>
        </is>
      </c>
      <c r="AK32" s="7">
        <f>VLOOKUP(AJ32,INDIRECT("'Form 3 - Empreendimento'!$B$2:$E$70"),4,FALSE)</f>
        <v/>
      </c>
    </row>
    <row r="33">
      <c r="A33" s="4" t="n"/>
      <c r="B33" s="4" t="n"/>
      <c r="C33" s="4" t="n"/>
      <c r="D33" s="4" t="n"/>
      <c r="E33" s="4" t="n"/>
      <c r="F33" s="4" t="n"/>
      <c r="G33" s="4" t="n"/>
      <c r="H33" s="4" t="n"/>
      <c r="AC33" s="4" t="n"/>
      <c r="AD33" s="7" t="inlineStr">
        <is>
          <t>=</t>
        </is>
      </c>
      <c r="AE33" s="7">
        <f>VLOOKUP(AD33,INDIRECT("'Form 1 - Município'!$B$2:$E$70"),4,FALSE)</f>
        <v/>
      </c>
      <c r="AF33" s="4" t="n"/>
      <c r="AG33" s="7" t="inlineStr">
        <is>
          <t>=</t>
        </is>
      </c>
      <c r="AH33" s="7">
        <f>VLOOKUP(AG33,INDIRECT("'Form 2 - UVR'!$B$2:$E$70"),4,FALSE)</f>
        <v/>
      </c>
      <c r="AJ33" s="7" t="inlineStr">
        <is>
          <t>=</t>
        </is>
      </c>
      <c r="AK33" s="7">
        <f>VLOOKUP(AJ33,INDIRECT("'Form 3 - Empreendimento'!$B$2:$E$70"),4,FALSE)</f>
        <v/>
      </c>
    </row>
    <row r="34">
      <c r="A34" s="4" t="n"/>
      <c r="B34" s="4" t="n"/>
      <c r="C34" s="4" t="n"/>
      <c r="D34" s="4" t="n"/>
      <c r="E34" s="4" t="n"/>
      <c r="F34" s="4" t="n"/>
      <c r="G34" s="4" t="n"/>
      <c r="H34" s="4" t="n"/>
      <c r="AC34" s="4" t="n"/>
      <c r="AD34" s="7" t="inlineStr">
        <is>
          <t>=</t>
        </is>
      </c>
      <c r="AE34" s="7">
        <f>VLOOKUP(AD34,INDIRECT("'Form 1 - Município'!$B$2:$E$70"),4,FALSE)</f>
        <v/>
      </c>
      <c r="AF34" s="4" t="n"/>
      <c r="AG34" s="7" t="inlineStr">
        <is>
          <t>=</t>
        </is>
      </c>
      <c r="AH34" s="7">
        <f>VLOOKUP(AG34,INDIRECT("'Form 2 - UVR'!$B$2:$E$70"),4,FALSE)</f>
        <v/>
      </c>
      <c r="AJ34" s="7" t="inlineStr">
        <is>
          <t>=</t>
        </is>
      </c>
      <c r="AK34" s="7">
        <f>VLOOKUP(AJ34,INDIRECT("'Form 3 - Empreendimento'!$B$2:$E$70"),4,FALSE)</f>
        <v/>
      </c>
    </row>
    <row r="35">
      <c r="A35" s="4" t="n"/>
      <c r="B35" s="4" t="n"/>
      <c r="C35" s="4" t="n"/>
      <c r="D35" s="4" t="n"/>
      <c r="E35" s="4" t="n"/>
      <c r="F35" s="4" t="n"/>
      <c r="G35" s="4" t="n"/>
      <c r="AC35" s="4" t="n"/>
      <c r="AD35" s="7" t="inlineStr">
        <is>
          <t>=</t>
        </is>
      </c>
      <c r="AE35" s="7">
        <f>VLOOKUP(AD35,INDIRECT("'Form 1 - Município'!$B$2:$E$70"),4,FALSE)</f>
        <v/>
      </c>
      <c r="AF35" s="4" t="n"/>
      <c r="AG35" s="7" t="inlineStr">
        <is>
          <t>=</t>
        </is>
      </c>
      <c r="AH35" s="7">
        <f>VLOOKUP(AG35,INDIRECT("'Form 2 - UVR'!$B$2:$E$70"),4,FALSE)</f>
        <v/>
      </c>
      <c r="AJ35" s="7" t="inlineStr">
        <is>
          <t>=</t>
        </is>
      </c>
      <c r="AK35" s="7">
        <f>VLOOKUP(AJ35,INDIRECT("'Form 3 - Empreendimento'!$B$2:$E$70"),4,FALSE)</f>
        <v/>
      </c>
    </row>
    <row r="36">
      <c r="A36" s="4" t="n"/>
      <c r="B36" s="4" t="n"/>
      <c r="C36" s="4" t="n"/>
      <c r="D36" s="4" t="n"/>
      <c r="E36" s="4" t="n"/>
      <c r="F36" s="4" t="n"/>
      <c r="G36" s="4" t="n"/>
      <c r="AC36" s="4" t="n"/>
      <c r="AD36" s="7" t="inlineStr">
        <is>
          <t>=</t>
        </is>
      </c>
      <c r="AE36" s="7">
        <f>VLOOKUP(AD36,INDIRECT("'Form 1 - Município'!$B$2:$E$70"),4,FALSE)</f>
        <v/>
      </c>
      <c r="AF36" s="4" t="n"/>
      <c r="AG36" s="7" t="inlineStr">
        <is>
          <t>=</t>
        </is>
      </c>
      <c r="AH36" s="7">
        <f>VLOOKUP(AG36,INDIRECT("'Form 2 - UVR'!$B$2:$E$70"),4,FALSE)</f>
        <v/>
      </c>
      <c r="AJ36" s="7" t="inlineStr">
        <is>
          <t>=</t>
        </is>
      </c>
      <c r="AK36" s="7">
        <f>VLOOKUP(AJ36,INDIRECT("'Form 3 - Empreendimento'!$B$2:$E$70"),4,FALSE)</f>
        <v/>
      </c>
    </row>
    <row r="37">
      <c r="AC37" s="4" t="n"/>
      <c r="AD37" s="7" t="inlineStr">
        <is>
          <t>=</t>
        </is>
      </c>
      <c r="AE37" s="7">
        <f>VLOOKUP(AD37,INDIRECT("'Form 1 - Município'!$B$2:$E$70"),4,FALSE)</f>
        <v/>
      </c>
      <c r="AF37" s="4" t="n"/>
      <c r="AG37" s="7" t="inlineStr">
        <is>
          <t>=</t>
        </is>
      </c>
      <c r="AH37" s="7">
        <f>VLOOKUP(AG37,INDIRECT("'Form 2 - UVR'!$B$2:$E$70"),4,FALSE)</f>
        <v/>
      </c>
      <c r="AJ37" s="7" t="inlineStr">
        <is>
          <t>=</t>
        </is>
      </c>
      <c r="AK37" s="7">
        <f>VLOOKUP(AJ37,INDIRECT("'Form 3 - Empreendimento'!$B$2:$E$70"),4,FALSE)</f>
        <v/>
      </c>
    </row>
    <row r="38">
      <c r="AC38" s="4" t="n"/>
      <c r="AD38" s="7" t="inlineStr">
        <is>
          <t>=</t>
        </is>
      </c>
      <c r="AE38" s="7">
        <f>VLOOKUP(AD38,INDIRECT("'Form 1 - Município'!$B$2:$E$70"),4,FALSE)</f>
        <v/>
      </c>
      <c r="AF38" s="4" t="n"/>
      <c r="AG38" s="7" t="inlineStr">
        <is>
          <t>=</t>
        </is>
      </c>
      <c r="AH38" s="7">
        <f>VLOOKUP(AG38,INDIRECT("'Form 2 - UVR'!$B$2:$E$70"),4,FALSE)</f>
        <v/>
      </c>
      <c r="AJ38" s="7" t="inlineStr">
        <is>
          <t>=</t>
        </is>
      </c>
      <c r="AK38" s="7">
        <f>VLOOKUP(AJ38,INDIRECT("'Form 3 - Empreendimento'!$B$2:$E$70"),4,FALSE)</f>
        <v/>
      </c>
    </row>
    <row r="39">
      <c r="AC39" s="4" t="n"/>
      <c r="AD39" s="7" t="inlineStr">
        <is>
          <t>=</t>
        </is>
      </c>
      <c r="AE39" s="7">
        <f>VLOOKUP(AD39,INDIRECT("'Form 1 - Município'!$B$2:$E$70"),4,FALSE)</f>
        <v/>
      </c>
      <c r="AF39" s="4" t="n"/>
      <c r="AG39" s="7" t="inlineStr">
        <is>
          <t>=</t>
        </is>
      </c>
      <c r="AH39" s="7">
        <f>VLOOKUP(AG39,INDIRECT("'Form 2 - UVR'!$B$2:$E$70"),4,FALSE)</f>
        <v/>
      </c>
      <c r="AJ39" s="7" t="inlineStr">
        <is>
          <t>=</t>
        </is>
      </c>
      <c r="AK39" s="7">
        <f>VLOOKUP(AJ39,INDIRECT("'Form 3 - Empreendimento'!$B$2:$E$70"),4,FALSE)</f>
        <v/>
      </c>
    </row>
    <row r="40">
      <c r="AC40" s="4" t="n"/>
      <c r="AD40" s="7" t="inlineStr">
        <is>
          <t>=</t>
        </is>
      </c>
      <c r="AE40" s="7">
        <f>VLOOKUP(AD40,INDIRECT("'Form 1 - Município'!$B$2:$E$70"),4,FALSE)</f>
        <v/>
      </c>
      <c r="AF40" s="4" t="n"/>
      <c r="AG40" s="7" t="inlineStr">
        <is>
          <t>=</t>
        </is>
      </c>
      <c r="AH40" s="7">
        <f>VLOOKUP(AG40,INDIRECT("'Form 2 - UVR'!$B$2:$E$70"),4,FALSE)</f>
        <v/>
      </c>
      <c r="AJ40" s="7" t="inlineStr">
        <is>
          <t>=</t>
        </is>
      </c>
      <c r="AK40" s="7">
        <f>VLOOKUP(AJ40,INDIRECT("'Form 3 - Empreendimento'!$B$2:$E$70"),4,FALSE)</f>
        <v/>
      </c>
    </row>
    <row r="41">
      <c r="AC41" s="4" t="n"/>
      <c r="AD41" s="7" t="inlineStr">
        <is>
          <t>=</t>
        </is>
      </c>
      <c r="AE41" s="7">
        <f>VLOOKUP(AD41,INDIRECT("'Form 1 - Município'!$B$2:$E$70"),4,FALSE)</f>
        <v/>
      </c>
      <c r="AF41" s="4" t="n"/>
      <c r="AG41" s="7" t="inlineStr">
        <is>
          <t>=</t>
        </is>
      </c>
      <c r="AH41" s="7">
        <f>VLOOKUP(AG41,INDIRECT("'Form 2 - UVR'!$B$2:$E$70"),4,FALSE)</f>
        <v/>
      </c>
      <c r="AJ41" s="7" t="inlineStr">
        <is>
          <t>=</t>
        </is>
      </c>
      <c r="AK41" s="7">
        <f>VLOOKUP(AJ41,INDIRECT("'Form 3 - Empreendimento'!$B$2:$E$70"),4,FALSE)</f>
        <v/>
      </c>
    </row>
    <row r="42">
      <c r="AC42" s="4" t="n"/>
      <c r="AD42" s="7" t="inlineStr">
        <is>
          <t>=</t>
        </is>
      </c>
      <c r="AE42" s="7">
        <f>VLOOKUP(AD42,INDIRECT("'Form 1 - Município'!$B$2:$E$70"),4,FALSE)</f>
        <v/>
      </c>
      <c r="AF42" s="4" t="n"/>
      <c r="AG42" s="7" t="inlineStr">
        <is>
          <t>=</t>
        </is>
      </c>
      <c r="AH42" s="7">
        <f>VLOOKUP(AG42,INDIRECT("'Form 2 - UVR'!$B$2:$E$70"),4,FALSE)</f>
        <v/>
      </c>
      <c r="AJ42" s="7" t="inlineStr">
        <is>
          <t>=</t>
        </is>
      </c>
      <c r="AK42" s="7">
        <f>VLOOKUP(AJ42,INDIRECT("'Form 3 - Empreendimento'!$B$2:$E$70"),4,FALSE)</f>
        <v/>
      </c>
    </row>
    <row r="43">
      <c r="AC43" s="4" t="n"/>
      <c r="AD43" s="7" t="inlineStr">
        <is>
          <t>=</t>
        </is>
      </c>
      <c r="AE43" s="7">
        <f>VLOOKUP(AD43,INDIRECT("'Form 1 - Município'!$B$2:$E$70"),4,FALSE)</f>
        <v/>
      </c>
      <c r="AF43" s="4" t="n"/>
      <c r="AG43" s="7" t="inlineStr">
        <is>
          <t>=</t>
        </is>
      </c>
      <c r="AH43" s="7">
        <f>VLOOKUP(AG43,INDIRECT("'Form 2 - UVR'!$B$2:$E$70"),4,FALSE)</f>
        <v/>
      </c>
      <c r="AJ43" s="7" t="inlineStr">
        <is>
          <t>=</t>
        </is>
      </c>
      <c r="AK43" s="7">
        <f>VLOOKUP(AJ43,INDIRECT("'Form 3 - Empreendimento'!$B$2:$E$70"),4,FALSE)</f>
        <v/>
      </c>
    </row>
    <row r="44">
      <c r="AC44" s="4" t="n"/>
      <c r="AD44" s="7" t="inlineStr">
        <is>
          <t>=</t>
        </is>
      </c>
      <c r="AE44" s="7">
        <f>VLOOKUP(AD44,INDIRECT("'Form 1 - Município'!$B$2:$E$70"),4,FALSE)</f>
        <v/>
      </c>
      <c r="AF44" s="4" t="n"/>
      <c r="AG44" s="7" t="inlineStr">
        <is>
          <t>=</t>
        </is>
      </c>
      <c r="AH44" s="7">
        <f>VLOOKUP(AG44,INDIRECT("'Form 2 - UVR'!$B$2:$E$70"),4,FALSE)</f>
        <v/>
      </c>
      <c r="AJ44" s="7" t="inlineStr">
        <is>
          <t>=</t>
        </is>
      </c>
      <c r="AK44" s="7">
        <f>VLOOKUP(AJ44,INDIRECT("'Form 3 - Empreendimento'!$B$2:$E$70"),4,FALSE)</f>
        <v/>
      </c>
    </row>
    <row r="45">
      <c r="AC45" s="4" t="n"/>
      <c r="AD45" s="7" t="inlineStr">
        <is>
          <t>=</t>
        </is>
      </c>
      <c r="AE45" s="7">
        <f>VLOOKUP(AD45,INDIRECT("'Form 1 - Município'!$B$2:$E$70"),4,FALSE)</f>
        <v/>
      </c>
      <c r="AF45" s="4" t="n"/>
      <c r="AG45" s="7" t="inlineStr">
        <is>
          <t>=</t>
        </is>
      </c>
      <c r="AH45" s="7">
        <f>VLOOKUP(AG45,INDIRECT("'Form 2 - UVR'!$B$2:$E$70"),4,FALSE)</f>
        <v/>
      </c>
      <c r="AJ45" s="7" t="inlineStr">
        <is>
          <t>=</t>
        </is>
      </c>
      <c r="AK45" s="7">
        <f>VLOOKUP(AJ45,INDIRECT("'Form 3 - Empreendimento'!$B$2:$E$70"),4,FALSE)</f>
        <v/>
      </c>
    </row>
    <row r="46">
      <c r="AC46" s="4" t="n"/>
      <c r="AD46" s="7" t="inlineStr">
        <is>
          <t>=</t>
        </is>
      </c>
      <c r="AE46" s="7">
        <f>VLOOKUP(AD46,INDIRECT("'Form 1 - Município'!$B$2:$E$70"),4,FALSE)</f>
        <v/>
      </c>
      <c r="AF46" s="4" t="n"/>
      <c r="AG46" s="7" t="inlineStr">
        <is>
          <t>=</t>
        </is>
      </c>
      <c r="AH46" s="7">
        <f>VLOOKUP(AG46,INDIRECT("'Form 2 - UVR'!$B$2:$E$70"),4,FALSE)</f>
        <v/>
      </c>
      <c r="AJ46" s="7" t="inlineStr">
        <is>
          <t>=</t>
        </is>
      </c>
      <c r="AK46" s="7">
        <f>VLOOKUP(AJ46,INDIRECT("'Form 3 - Empreendimento'!$B$2:$E$70"),4,FALSE)</f>
        <v/>
      </c>
    </row>
    <row r="47">
      <c r="AC47" s="4" t="n"/>
      <c r="AD47" s="7" t="inlineStr">
        <is>
          <t>=</t>
        </is>
      </c>
      <c r="AE47" s="7">
        <f>VLOOKUP(AD47,INDIRECT("'Form 1 - Município'!$B$2:$E$70"),4,FALSE)</f>
        <v/>
      </c>
      <c r="AF47" s="4" t="n"/>
      <c r="AG47" s="7" t="inlineStr">
        <is>
          <t>=</t>
        </is>
      </c>
      <c r="AH47" s="7">
        <f>VLOOKUP(AG47,INDIRECT("'Form 2 - UVR'!$B$2:$E$70"),4,FALSE)</f>
        <v/>
      </c>
      <c r="AJ47" s="7" t="inlineStr">
        <is>
          <t>=</t>
        </is>
      </c>
      <c r="AK47" s="7">
        <f>VLOOKUP(AJ47,INDIRECT("'Form 3 - Empreendimento'!$B$2:$E$70"),4,FALSE)</f>
        <v/>
      </c>
    </row>
    <row r="48">
      <c r="AC48" s="4" t="n"/>
      <c r="AD48" s="7" t="inlineStr">
        <is>
          <t>=</t>
        </is>
      </c>
      <c r="AE48" s="7">
        <f>VLOOKUP(AD48,INDIRECT("'Form 1 - Município'!$B$2:$E$70"),4,FALSE)</f>
        <v/>
      </c>
      <c r="AF48" s="4" t="n"/>
      <c r="AG48" s="7" t="inlineStr">
        <is>
          <t>=</t>
        </is>
      </c>
      <c r="AH48" s="7">
        <f>VLOOKUP(AG48,INDIRECT("'Form 2 - UVR'!$B$2:$E$70"),4,FALSE)</f>
        <v/>
      </c>
      <c r="AJ48" s="7" t="inlineStr">
        <is>
          <t>=</t>
        </is>
      </c>
      <c r="AK48" s="7">
        <f>VLOOKUP(AJ48,INDIRECT("'Form 3 - Empreendimento'!$B$2:$E$70"),4,FALSE)</f>
        <v/>
      </c>
    </row>
    <row r="49">
      <c r="AC49" s="4" t="n"/>
      <c r="AD49" s="7" t="inlineStr">
        <is>
          <t>=</t>
        </is>
      </c>
      <c r="AE49" s="7">
        <f>VLOOKUP(AD49,INDIRECT("'Form 1 - Município'!$B$2:$E$70"),4,FALSE)</f>
        <v/>
      </c>
      <c r="AF49" s="4" t="n"/>
      <c r="AG49" s="7" t="inlineStr">
        <is>
          <t>=</t>
        </is>
      </c>
      <c r="AH49" s="7">
        <f>VLOOKUP(AG49,INDIRECT("'Form 2 - UVR'!$B$2:$E$70"),4,FALSE)</f>
        <v/>
      </c>
      <c r="AJ49" s="7" t="inlineStr">
        <is>
          <t>=</t>
        </is>
      </c>
      <c r="AK49" s="7">
        <f>VLOOKUP(AJ49,INDIRECT("'Form 3 - Empreendimento'!$B$2:$E$70"),4,FALSE)</f>
        <v/>
      </c>
    </row>
    <row r="50">
      <c r="AC50" s="4" t="n"/>
      <c r="AD50" s="7" t="inlineStr">
        <is>
          <t>=</t>
        </is>
      </c>
      <c r="AE50" s="7">
        <f>VLOOKUP(AD50,INDIRECT("'Form 1 - Município'!$B$2:$E$70"),4,FALSE)</f>
        <v/>
      </c>
      <c r="AF50" s="4" t="n"/>
      <c r="AG50" s="7" t="inlineStr">
        <is>
          <t>=</t>
        </is>
      </c>
      <c r="AH50" s="7">
        <f>VLOOKUP(AG50,INDIRECT("'Form 2 - UVR'!$B$2:$E$70"),4,FALSE)</f>
        <v/>
      </c>
      <c r="AJ50" s="7" t="inlineStr">
        <is>
          <t>=</t>
        </is>
      </c>
      <c r="AK50" s="7">
        <f>VLOOKUP(AJ50,INDIRECT("'Form 3 - Empreendimento'!$B$2:$E$70"),4,FALSE)</f>
        <v/>
      </c>
    </row>
    <row r="51">
      <c r="AC51" s="4" t="n"/>
      <c r="AD51" s="7" t="inlineStr">
        <is>
          <t>=</t>
        </is>
      </c>
      <c r="AE51" s="7">
        <f>VLOOKUP(AD51,INDIRECT("'Form 1 - Município'!$B$2:$E$70"),4,FALSE)</f>
        <v/>
      </c>
      <c r="AF51" s="4" t="n"/>
      <c r="AG51" s="7" t="inlineStr">
        <is>
          <t>=</t>
        </is>
      </c>
      <c r="AH51" s="7">
        <f>VLOOKUP(AG51,INDIRECT("'Form 2 - UVR'!$B$2:$E$70"),4,FALSE)</f>
        <v/>
      </c>
      <c r="AJ51" s="7" t="inlineStr">
        <is>
          <t>=</t>
        </is>
      </c>
      <c r="AK51" s="7">
        <f>VLOOKUP(AJ51,INDIRECT("'Form 3 - Empreendimento'!$B$2:$E$70"),4,FALSE)</f>
        <v/>
      </c>
    </row>
    <row r="52">
      <c r="AC52" s="4" t="n"/>
      <c r="AD52" s="7" t="inlineStr">
        <is>
          <t>=</t>
        </is>
      </c>
      <c r="AE52" s="7">
        <f>VLOOKUP(AD52,INDIRECT("'Form 1 - Município'!$B$2:$E$70"),4,FALSE)</f>
        <v/>
      </c>
      <c r="AF52" s="4" t="n"/>
      <c r="AG52" s="7" t="inlineStr">
        <is>
          <t>=</t>
        </is>
      </c>
      <c r="AH52" s="7">
        <f>VLOOKUP(AG52,INDIRECT("'Form 2 - UVR'!$B$2:$E$70"),4,FALSE)</f>
        <v/>
      </c>
      <c r="AJ52" s="7" t="inlineStr">
        <is>
          <t>=</t>
        </is>
      </c>
      <c r="AK52" s="7">
        <f>VLOOKUP(AJ52,INDIRECT("'Form 3 - Empreendimento'!$B$2:$E$70"),4,FALSE)</f>
        <v/>
      </c>
    </row>
    <row r="53">
      <c r="AC53" s="4" t="n"/>
      <c r="AD53" s="7" t="inlineStr">
        <is>
          <t>=</t>
        </is>
      </c>
      <c r="AE53" s="7">
        <f>VLOOKUP(AD53,INDIRECT("'Form 1 - Município'!$B$2:$E$70"),4,FALSE)</f>
        <v/>
      </c>
      <c r="AF53" s="4" t="n"/>
      <c r="AG53" s="7" t="inlineStr">
        <is>
          <t>=</t>
        </is>
      </c>
      <c r="AH53" s="7">
        <f>VLOOKUP(AG53,INDIRECT("'Form 2 - UVR'!$B$2:$E$70"),4,FALSE)</f>
        <v/>
      </c>
      <c r="AJ53" s="7" t="inlineStr">
        <is>
          <t>=</t>
        </is>
      </c>
      <c r="AK53" s="7">
        <f>VLOOKUP(AJ53,INDIRECT("'Form 3 - Empreendimento'!$B$2:$E$70"),4,FALSE)</f>
        <v/>
      </c>
    </row>
    <row r="54">
      <c r="AC54" s="4" t="n"/>
      <c r="AD54" s="7" t="inlineStr">
        <is>
          <t>=</t>
        </is>
      </c>
      <c r="AE54" s="7">
        <f>VLOOKUP(AD54,INDIRECT("'Form 1 - Município'!$B$2:$E$70"),4,FALSE)</f>
        <v/>
      </c>
      <c r="AF54" s="4" t="n"/>
      <c r="AG54" s="7" t="inlineStr">
        <is>
          <t>=</t>
        </is>
      </c>
      <c r="AH54" s="7">
        <f>VLOOKUP(AG54,INDIRECT("'Form 2 - UVR'!$B$2:$E$70"),4,FALSE)</f>
        <v/>
      </c>
      <c r="AJ54" s="7" t="inlineStr">
        <is>
          <t>=</t>
        </is>
      </c>
      <c r="AK54" s="7">
        <f>VLOOKUP(AJ54,INDIRECT("'Form 3 - Empreendimento'!$B$2:$E$70"),4,FALSE)</f>
        <v/>
      </c>
    </row>
    <row r="55">
      <c r="AC55" s="4" t="n"/>
      <c r="AD55" s="7" t="inlineStr">
        <is>
          <t>=</t>
        </is>
      </c>
      <c r="AE55" s="7">
        <f>VLOOKUP(AD55,INDIRECT("'Form 1 - Município'!$B$2:$E$70"),4,FALSE)</f>
        <v/>
      </c>
      <c r="AF55" s="4" t="n"/>
      <c r="AG55" s="7" t="inlineStr">
        <is>
          <t>=</t>
        </is>
      </c>
      <c r="AH55" s="7">
        <f>VLOOKUP(AG55,INDIRECT("'Form 2 - UVR'!$B$2:$E$70"),4,FALSE)</f>
        <v/>
      </c>
      <c r="AJ55" s="7" t="inlineStr">
        <is>
          <t>=</t>
        </is>
      </c>
      <c r="AK55" s="7">
        <f>VLOOKUP(AJ55,INDIRECT("'Form 3 - Empreendimento'!$B$2:$E$70"),4,FALSE)</f>
        <v/>
      </c>
    </row>
    <row r="56">
      <c r="AC56" s="4" t="n"/>
      <c r="AD56" s="7" t="inlineStr">
        <is>
          <t>=</t>
        </is>
      </c>
      <c r="AE56" s="7">
        <f>VLOOKUP(AD56,INDIRECT("'Form 1 - Município'!$B$2:$E$70"),4,FALSE)</f>
        <v/>
      </c>
      <c r="AF56" s="4" t="n"/>
      <c r="AG56" s="7" t="inlineStr">
        <is>
          <t>=</t>
        </is>
      </c>
      <c r="AH56" s="7">
        <f>VLOOKUP(AG56,INDIRECT("'Form 2 - UVR'!$B$2:$E$70"),4,FALSE)</f>
        <v/>
      </c>
      <c r="AJ56" s="7" t="inlineStr">
        <is>
          <t>=</t>
        </is>
      </c>
      <c r="AK56" s="7">
        <f>VLOOKUP(AJ56,INDIRECT("'Form 3 - Empreendimento'!$B$2:$E$70"),4,FALSE)</f>
        <v/>
      </c>
    </row>
    <row r="57">
      <c r="AD57" s="4" t="n"/>
      <c r="AE57" s="4" t="n"/>
    </row>
  </sheetData>
  <mergeCells count="7">
    <mergeCell ref="B15:C15"/>
    <mergeCell ref="F15:G15"/>
    <mergeCell ref="D15:E15"/>
    <mergeCell ref="AD1:AE1"/>
    <mergeCell ref="AG1:AH1"/>
    <mergeCell ref="AJ1:AK1"/>
    <mergeCell ref="A15:A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cols>
    <col width="31.140625" customWidth="1" min="2" max="2"/>
    <col width="8.5703125" customWidth="1" min="3" max="3"/>
    <col width="24.28515625" customWidth="1" min="4" max="4"/>
    <col width="26.140625" customWidth="1" min="5" max="5"/>
    <col width="27.7109375" customWidth="1" min="6" max="6"/>
    <col width="31.140625" customWidth="1" min="9" max="9"/>
    <col width="8.5703125" customWidth="1" min="10" max="10"/>
    <col width="24.28515625" customWidth="1" min="11" max="11"/>
    <col width="28.85546875" customWidth="1" min="12" max="12"/>
    <col width="29.140625" customWidth="1" min="13" max="13"/>
  </cols>
  <sheetData>
    <row r="1" ht="15.75" customHeight="1">
      <c r="A1" s="26" t="inlineStr">
        <is>
          <t>Regional</t>
        </is>
      </c>
      <c r="B1" s="27" t="inlineStr">
        <is>
          <t>Municípios</t>
        </is>
      </c>
      <c r="C1" s="27" t="inlineStr">
        <is>
          <t>UVR</t>
        </is>
      </c>
      <c r="D1" s="27" t="inlineStr">
        <is>
          <t>Form 1 - Município</t>
        </is>
      </c>
      <c r="E1" s="27" t="inlineStr">
        <is>
          <t>Form 2 - UVR</t>
        </is>
      </c>
      <c r="F1" s="27" t="inlineStr">
        <is>
          <t>Form 3 - Empreendimento</t>
        </is>
      </c>
    </row>
    <row r="2" ht="15.75" customHeight="1">
      <c r="A2" s="28" t="inlineStr">
        <is>
          <t>Bianca</t>
        </is>
      </c>
      <c r="B2" s="7" t="inlineStr">
        <is>
          <t>Anahy</t>
        </is>
      </c>
      <c r="C2" s="7" t="n">
        <v>1</v>
      </c>
      <c r="D2" s="29">
        <f t="array" ref="D2">IF(
    VLOOKUP(
        $A2,
        _xlfn._xlws.FILTER(
            INDIRECT("'"&amp;D$1&amp;"'!A2:E1000"), (INDIRECT("'"&amp;D$1&amp;"'!B2:B1000")=$B2) * (INDIRECT("'"&amp;D$1&amp;"'!C2:C1000")=$C2)
        ),
        5,
        FALSE
    )=0,
    "",
    VLOOKUP(
        $A2,
        _xlfn._xlws.FILTER(
            INDIRECT("'"&amp;D$1&amp;"'!A2:E1000"), (INDIRECT("'"&amp;D$1&amp;"'!B2:B1000")=$B2) * (INDIRECT("'"&amp;D$1&amp;"'!C2:C1000")=$C2)
        ),
        5,
        FALSE
    )
)</f>
        <v/>
      </c>
      <c r="E2" s="29">
        <f t="array" ref="E2">IF(
    VLOOKUP(
        $A2,
        _xlfn._xlws.FILTER(
            INDIRECT("'"&amp;E$1&amp;"'!A2:E1000"), (INDIRECT("'"&amp;E$1&amp;"'!B2:B1000")=$B2) * (INDIRECT("'"&amp;E$1&amp;"'!C2:C1000")=$C2)
        ),
        5,
        FALSE
    )=0,
    "",
    VLOOKUP(
        $A2,
        _xlfn._xlws.FILTER(
            INDIRECT("'"&amp;E$1&amp;"'!A2:E1000"), (INDIRECT("'"&amp;E$1&amp;"'!B2:B1000")=$B2) * (INDIRECT("'"&amp;E$1&amp;"'!C2:C1000")=$C2)
        ),
        5,
        FALSE
    )
)</f>
        <v/>
      </c>
      <c r="F2" s="29">
        <f t="array" ref="F2">IF(
    VLOOKUP(
        $A2,
        _xlfn._xlws.FILTER(
            INDIRECT("'"&amp;F$1&amp;"'!A2:E1000"), (INDIRECT("'"&amp;F$1&amp;"'!B2:B1000")=$B2) * (INDIRECT("'"&amp;F$1&amp;"'!C2:C1000")=$C2)
        ),
        5,
        FALSE
    )=0,
    "",
    VLOOKUP(
        $A2,
        _xlfn._xlws.FILTER(
            INDIRECT("'"&amp;F$1&amp;"'!A2:E1000"), (INDIRECT("'"&amp;F$1&amp;"'!B2:B1000")=$B2) * (INDIRECT("'"&amp;F$1&amp;"'!C2:C1000")=$C2)
        ),
        5,
        FALSE
    )
)</f>
        <v/>
      </c>
    </row>
    <row r="3">
      <c r="A3" s="28" t="inlineStr">
        <is>
          <t>Bianca</t>
        </is>
      </c>
      <c r="B3" s="7" t="inlineStr">
        <is>
          <t>Boa Vista da Aparecida</t>
        </is>
      </c>
      <c r="C3" s="7" t="n">
        <v>1</v>
      </c>
      <c r="D3" s="29">
        <f t="array" ref="D3">IF(
    VLOOKUP(
        $A3,
        _xlfn._xlws.FILTER(
            INDIRECT("'"&amp;D$1&amp;"'!A2:E1000"), (INDIRECT("'"&amp;D$1&amp;"'!B2:B1000")=$B3) * (INDIRECT("'"&amp;D$1&amp;"'!C2:C1000")=$C3)
        ),
        5,
        FALSE
    )=0,
    "",
    VLOOKUP(
        $A3,
        _xlfn._xlws.FILTER(
            INDIRECT("'"&amp;D$1&amp;"'!A2:E1000"), (INDIRECT("'"&amp;D$1&amp;"'!B2:B1000")=$B3) * (INDIRECT("'"&amp;D$1&amp;"'!C2:C1000")=$C3)
        ),
        5,
        FALSE
    )
)</f>
        <v/>
      </c>
      <c r="E3" s="29">
        <f t="array" ref="E3">IF(
    VLOOKUP(
        $A3,
        _xlfn._xlws.FILTER(
            INDIRECT("'"&amp;E$1&amp;"'!A2:E1000"), (INDIRECT("'"&amp;E$1&amp;"'!B2:B1000")=$B3) * (INDIRECT("'"&amp;E$1&amp;"'!C2:C1000")=$C3)
        ),
        5,
        FALSE
    )=0,
    "",
    VLOOKUP(
        $A3,
        _xlfn._xlws.FILTER(
            INDIRECT("'"&amp;E$1&amp;"'!A2:E1000"), (INDIRECT("'"&amp;E$1&amp;"'!B2:B1000")=$B3) * (INDIRECT("'"&amp;E$1&amp;"'!C2:C1000")=$C3)
        ),
        5,
        FALSE
    )
)</f>
        <v/>
      </c>
      <c r="F3" s="29">
        <f t="array" ref="F3">IF(
    VLOOKUP(
        $A3,
        _xlfn._xlws.FILTER(
            INDIRECT("'"&amp;F$1&amp;"'!A2:E1000"), (INDIRECT("'"&amp;F$1&amp;"'!B2:B1000")=$B3) * (INDIRECT("'"&amp;F$1&amp;"'!C2:C1000")=$C3)
        ),
        5,
        FALSE
    )=0,
    "",
    VLOOKUP(
        $A3,
        _xlfn._xlws.FILTER(
            INDIRECT("'"&amp;F$1&amp;"'!A2:E1000"), (INDIRECT("'"&amp;F$1&amp;"'!B2:B1000")=$B3) * (INDIRECT("'"&amp;F$1&amp;"'!C2:C1000")=$C3)
        ),
        5,
        FALSE
    )
)</f>
        <v/>
      </c>
    </row>
    <row r="4">
      <c r="A4" s="28" t="inlineStr">
        <is>
          <t>Bianca</t>
        </is>
      </c>
      <c r="B4" s="7" t="inlineStr">
        <is>
          <t>Braganey</t>
        </is>
      </c>
      <c r="C4" s="7" t="n">
        <v>1</v>
      </c>
      <c r="D4" s="29">
        <f t="array" ref="D4">IF(
    VLOOKUP(
        $A4,
        _xlfn._xlws.FILTER(
            INDIRECT("'"&amp;D$1&amp;"'!A2:E1000"), (INDIRECT("'"&amp;D$1&amp;"'!B2:B1000")=$B4) * (INDIRECT("'"&amp;D$1&amp;"'!C2:C1000")=$C4)
        ),
        5,
        FALSE
    )=0,
    "",
    VLOOKUP(
        $A4,
        _xlfn._xlws.FILTER(
            INDIRECT("'"&amp;D$1&amp;"'!A2:E1000"), (INDIRECT("'"&amp;D$1&amp;"'!B2:B1000")=$B4) * (INDIRECT("'"&amp;D$1&amp;"'!C2:C1000")=$C4)
        ),
        5,
        FALSE
    )
)</f>
        <v/>
      </c>
      <c r="E4" s="29">
        <f t="array" ref="E4">IF(
    VLOOKUP(
        $A4,
        _xlfn._xlws.FILTER(
            INDIRECT("'"&amp;E$1&amp;"'!A2:E1000"), (INDIRECT("'"&amp;E$1&amp;"'!B2:B1000")=$B4) * (INDIRECT("'"&amp;E$1&amp;"'!C2:C1000")=$C4)
        ),
        5,
        FALSE
    )=0,
    "",
    VLOOKUP(
        $A4,
        _xlfn._xlws.FILTER(
            INDIRECT("'"&amp;E$1&amp;"'!A2:E1000"), (INDIRECT("'"&amp;E$1&amp;"'!B2:B1000")=$B4) * (INDIRECT("'"&amp;E$1&amp;"'!C2:C1000")=$C4)
        ),
        5,
        FALSE
    )
)</f>
        <v/>
      </c>
      <c r="F4" s="29">
        <f t="array" ref="F4">IF(
    VLOOKUP(
        $A4,
        _xlfn._xlws.FILTER(
            INDIRECT("'"&amp;F$1&amp;"'!A2:E1000"), (INDIRECT("'"&amp;F$1&amp;"'!B2:B1000")=$B4) * (INDIRECT("'"&amp;F$1&amp;"'!C2:C1000")=$C4)
        ),
        5,
        FALSE
    )=0,
    "",
    VLOOKUP(
        $A4,
        _xlfn._xlws.FILTER(
            INDIRECT("'"&amp;F$1&amp;"'!A2:E1000"), (INDIRECT("'"&amp;F$1&amp;"'!B2:B1000")=$B4) * (INDIRECT("'"&amp;F$1&amp;"'!C2:C1000")=$C4)
        ),
        5,
        FALSE
    )
)</f>
        <v/>
      </c>
    </row>
    <row r="5">
      <c r="A5" s="28" t="inlineStr">
        <is>
          <t>Bianca</t>
        </is>
      </c>
      <c r="B5" s="7" t="inlineStr">
        <is>
          <t>Campo Bonito</t>
        </is>
      </c>
      <c r="C5" s="7" t="n">
        <v>1</v>
      </c>
      <c r="D5" s="29">
        <f t="array" ref="D5">IF(
    VLOOKUP(
        $A5,
        _xlfn._xlws.FILTER(
            INDIRECT("'"&amp;D$1&amp;"'!A2:E1000"), (INDIRECT("'"&amp;D$1&amp;"'!B2:B1000")=$B5) * (INDIRECT("'"&amp;D$1&amp;"'!C2:C1000")=$C5)
        ),
        5,
        FALSE
    )=0,
    "",
    VLOOKUP(
        $A5,
        _xlfn._xlws.FILTER(
            INDIRECT("'"&amp;D$1&amp;"'!A2:E1000"), (INDIRECT("'"&amp;D$1&amp;"'!B2:B1000")=$B5) * (INDIRECT("'"&amp;D$1&amp;"'!C2:C1000")=$C5)
        ),
        5,
        FALSE
    )
)</f>
        <v/>
      </c>
      <c r="E5" s="29">
        <f t="array" ref="E5">IF(
    VLOOKUP(
        $A5,
        _xlfn._xlws.FILTER(
            INDIRECT("'"&amp;E$1&amp;"'!A2:E1000"), (INDIRECT("'"&amp;E$1&amp;"'!B2:B1000")=$B5) * (INDIRECT("'"&amp;E$1&amp;"'!C2:C1000")=$C5)
        ),
        5,
        FALSE
    )=0,
    "",
    VLOOKUP(
        $A5,
        _xlfn._xlws.FILTER(
            INDIRECT("'"&amp;E$1&amp;"'!A2:E1000"), (INDIRECT("'"&amp;E$1&amp;"'!B2:B1000")=$B5) * (INDIRECT("'"&amp;E$1&amp;"'!C2:C1000")=$C5)
        ),
        5,
        FALSE
    )
)</f>
        <v/>
      </c>
      <c r="F5" s="29">
        <f t="array" ref="F5">IF(
    VLOOKUP(
        $A5,
        _xlfn._xlws.FILTER(
            INDIRECT("'"&amp;F$1&amp;"'!A2:E1000"), (INDIRECT("'"&amp;F$1&amp;"'!B2:B1000")=$B5) * (INDIRECT("'"&amp;F$1&amp;"'!C2:C1000")=$C5)
        ),
        5,
        FALSE
    )=0,
    "",
    VLOOKUP(
        $A5,
        _xlfn._xlws.FILTER(
            INDIRECT("'"&amp;F$1&amp;"'!A2:E1000"), (INDIRECT("'"&amp;F$1&amp;"'!B2:B1000")=$B5) * (INDIRECT("'"&amp;F$1&amp;"'!C2:C1000")=$C5)
        ),
        5,
        FALSE
    )
)</f>
        <v/>
      </c>
    </row>
    <row r="6">
      <c r="A6" s="28" t="inlineStr">
        <is>
          <t>Bianca</t>
        </is>
      </c>
      <c r="B6" s="7" t="inlineStr">
        <is>
          <t>Catanduvas</t>
        </is>
      </c>
      <c r="C6" s="7" t="n">
        <v>1</v>
      </c>
      <c r="D6" s="29">
        <f t="array" ref="D6">IF(
    VLOOKUP(
        $A6,
        _xlfn._xlws.FILTER(
            INDIRECT("'"&amp;D$1&amp;"'!A2:E1000"), (INDIRECT("'"&amp;D$1&amp;"'!B2:B1000")=$B6) * (INDIRECT("'"&amp;D$1&amp;"'!C2:C1000")=$C6)
        ),
        5,
        FALSE
    )=0,
    "",
    VLOOKUP(
        $A6,
        _xlfn._xlws.FILTER(
            INDIRECT("'"&amp;D$1&amp;"'!A2:E1000"), (INDIRECT("'"&amp;D$1&amp;"'!B2:B1000")=$B6) * (INDIRECT("'"&amp;D$1&amp;"'!C2:C1000")=$C6)
        ),
        5,
        FALSE
    )
)</f>
        <v/>
      </c>
      <c r="E6" s="29">
        <f t="array" ref="E6">IF(
    VLOOKUP(
        $A6,
        _xlfn._xlws.FILTER(
            INDIRECT("'"&amp;E$1&amp;"'!A2:E1000"), (INDIRECT("'"&amp;E$1&amp;"'!B2:B1000")=$B6) * (INDIRECT("'"&amp;E$1&amp;"'!C2:C1000")=$C6)
        ),
        5,
        FALSE
    )=0,
    "",
    VLOOKUP(
        $A6,
        _xlfn._xlws.FILTER(
            INDIRECT("'"&amp;E$1&amp;"'!A2:E1000"), (INDIRECT("'"&amp;E$1&amp;"'!B2:B1000")=$B6) * (INDIRECT("'"&amp;E$1&amp;"'!C2:C1000")=$C6)
        ),
        5,
        FALSE
    )
)</f>
        <v/>
      </c>
      <c r="F6" s="29">
        <f t="array" ref="F6">IF(
    VLOOKUP(
        $A6,
        _xlfn._xlws.FILTER(
            INDIRECT("'"&amp;F$1&amp;"'!A2:E1000"), (INDIRECT("'"&amp;F$1&amp;"'!B2:B1000")=$B6) * (INDIRECT("'"&amp;F$1&amp;"'!C2:C1000")=$C6)
        ),
        5,
        FALSE
    )=0,
    "",
    VLOOKUP(
        $A6,
        _xlfn._xlws.FILTER(
            INDIRECT("'"&amp;F$1&amp;"'!A2:E1000"), (INDIRECT("'"&amp;F$1&amp;"'!B2:B1000")=$B6) * (INDIRECT("'"&amp;F$1&amp;"'!C2:C1000")=$C6)
        ),
        5,
        FALSE
    )
)</f>
        <v/>
      </c>
    </row>
    <row r="7">
      <c r="A7" s="28" t="inlineStr">
        <is>
          <t>Bianca</t>
        </is>
      </c>
      <c r="B7" s="7" t="inlineStr">
        <is>
          <t>Corbélia</t>
        </is>
      </c>
      <c r="C7" s="7" t="n">
        <v>1</v>
      </c>
      <c r="D7" s="29">
        <f t="array" ref="D7">IF(
    VLOOKUP(
        $A7,
        _xlfn._xlws.FILTER(
            INDIRECT("'"&amp;D$1&amp;"'!A2:E1000"), (INDIRECT("'"&amp;D$1&amp;"'!B2:B1000")=$B7) * (INDIRECT("'"&amp;D$1&amp;"'!C2:C1000")=$C7)
        ),
        5,
        FALSE
    )=0,
    "",
    VLOOKUP(
        $A7,
        _xlfn._xlws.FILTER(
            INDIRECT("'"&amp;D$1&amp;"'!A2:E1000"), (INDIRECT("'"&amp;D$1&amp;"'!B2:B1000")=$B7) * (INDIRECT("'"&amp;D$1&amp;"'!C2:C1000")=$C7)
        ),
        5,
        FALSE
    )
)</f>
        <v/>
      </c>
      <c r="E7" s="29">
        <f t="array" ref="E7">IF(
    VLOOKUP(
        $A7,
        _xlfn._xlws.FILTER(
            INDIRECT("'"&amp;E$1&amp;"'!A2:E1000"), (INDIRECT("'"&amp;E$1&amp;"'!B2:B1000")=$B7) * (INDIRECT("'"&amp;E$1&amp;"'!C2:C1000")=$C7)
        ),
        5,
        FALSE
    )=0,
    "",
    VLOOKUP(
        $A7,
        _xlfn._xlws.FILTER(
            INDIRECT("'"&amp;E$1&amp;"'!A2:E1000"), (INDIRECT("'"&amp;E$1&amp;"'!B2:B1000")=$B7) * (INDIRECT("'"&amp;E$1&amp;"'!C2:C1000")=$C7)
        ),
        5,
        FALSE
    )
)</f>
        <v/>
      </c>
      <c r="F7" s="29">
        <f t="array" ref="F7">IF(
    VLOOKUP(
        $A7,
        _xlfn._xlws.FILTER(
            INDIRECT("'"&amp;F$1&amp;"'!A2:E1000"), (INDIRECT("'"&amp;F$1&amp;"'!B2:B1000")=$B7) * (INDIRECT("'"&amp;F$1&amp;"'!C2:C1000")=$C7)
        ),
        5,
        FALSE
    )=0,
    "",
    VLOOKUP(
        $A7,
        _xlfn._xlws.FILTER(
            INDIRECT("'"&amp;F$1&amp;"'!A2:E1000"), (INDIRECT("'"&amp;F$1&amp;"'!B2:B1000")=$B7) * (INDIRECT("'"&amp;F$1&amp;"'!C2:C1000")=$C7)
        ),
        5,
        FALSE
    )
)</f>
        <v/>
      </c>
    </row>
    <row r="8">
      <c r="A8" s="28" t="inlineStr">
        <is>
          <t>Bianca</t>
        </is>
      </c>
      <c r="B8" s="7" t="inlineStr">
        <is>
          <t>Diamante do Sul</t>
        </is>
      </c>
      <c r="C8" s="7" t="n">
        <v>1</v>
      </c>
      <c r="D8" s="29">
        <f t="array" ref="D8">IF(
    VLOOKUP(
        $A8,
        _xlfn._xlws.FILTER(
            INDIRECT("'"&amp;D$1&amp;"'!A2:E1000"), (INDIRECT("'"&amp;D$1&amp;"'!B2:B1000")=$B8) * (INDIRECT("'"&amp;D$1&amp;"'!C2:C1000")=$C8)
        ),
        5,
        FALSE
    )=0,
    "",
    VLOOKUP(
        $A8,
        _xlfn._xlws.FILTER(
            INDIRECT("'"&amp;D$1&amp;"'!A2:E1000"), (INDIRECT("'"&amp;D$1&amp;"'!B2:B1000")=$B8) * (INDIRECT("'"&amp;D$1&amp;"'!C2:C1000")=$C8)
        ),
        5,
        FALSE
    )
)</f>
        <v/>
      </c>
      <c r="E8" s="29">
        <f t="array" ref="E8">IF(
    VLOOKUP(
        $A8,
        _xlfn._xlws.FILTER(
            INDIRECT("'"&amp;E$1&amp;"'!A2:E1000"), (INDIRECT("'"&amp;E$1&amp;"'!B2:B1000")=$B8) * (INDIRECT("'"&amp;E$1&amp;"'!C2:C1000")=$C8)
        ),
        5,
        FALSE
    )=0,
    "",
    VLOOKUP(
        $A8,
        _xlfn._xlws.FILTER(
            INDIRECT("'"&amp;E$1&amp;"'!A2:E1000"), (INDIRECT("'"&amp;E$1&amp;"'!B2:B1000")=$B8) * (INDIRECT("'"&amp;E$1&amp;"'!C2:C1000")=$C8)
        ),
        5,
        FALSE
    )
)</f>
        <v/>
      </c>
      <c r="F8" s="29">
        <f t="array" ref="F8">IF(
    VLOOKUP(
        $A8,
        _xlfn._xlws.FILTER(
            INDIRECT("'"&amp;F$1&amp;"'!A2:E1000"), (INDIRECT("'"&amp;F$1&amp;"'!B2:B1000")=$B8) * (INDIRECT("'"&amp;F$1&amp;"'!C2:C1000")=$C8)
        ),
        5,
        FALSE
    )=0,
    "",
    VLOOKUP(
        $A8,
        _xlfn._xlws.FILTER(
            INDIRECT("'"&amp;F$1&amp;"'!A2:E1000"), (INDIRECT("'"&amp;F$1&amp;"'!B2:B1000")=$B8) * (INDIRECT("'"&amp;F$1&amp;"'!C2:C1000")=$C8)
        ),
        5,
        FALSE
    )
)</f>
        <v/>
      </c>
    </row>
    <row r="9">
      <c r="A9" s="28" t="inlineStr">
        <is>
          <t>Bianca</t>
        </is>
      </c>
      <c r="B9" s="7" t="inlineStr">
        <is>
          <t>Guaraniacu</t>
        </is>
      </c>
      <c r="C9" s="7" t="n">
        <v>1</v>
      </c>
      <c r="D9" s="29">
        <f t="array" ref="D9">IF(
    VLOOKUP(
        $A9,
        _xlfn._xlws.FILTER(
            INDIRECT("'"&amp;D$1&amp;"'!A2:E1000"), (INDIRECT("'"&amp;D$1&amp;"'!B2:B1000")=$B9) * (INDIRECT("'"&amp;D$1&amp;"'!C2:C1000")=$C9)
        ),
        5,
        FALSE
    )=0,
    "",
    VLOOKUP(
        $A9,
        _xlfn._xlws.FILTER(
            INDIRECT("'"&amp;D$1&amp;"'!A2:E1000"), (INDIRECT("'"&amp;D$1&amp;"'!B2:B1000")=$B9) * (INDIRECT("'"&amp;D$1&amp;"'!C2:C1000")=$C9)
        ),
        5,
        FALSE
    )
)</f>
        <v/>
      </c>
      <c r="E9" s="29">
        <f t="array" ref="E9">IF(
    VLOOKUP(
        $A9,
        _xlfn._xlws.FILTER(
            INDIRECT("'"&amp;E$1&amp;"'!A2:E1000"), (INDIRECT("'"&amp;E$1&amp;"'!B2:B1000")=$B9) * (INDIRECT("'"&amp;E$1&amp;"'!C2:C1000")=$C9)
        ),
        5,
        FALSE
    )=0,
    "",
    VLOOKUP(
        $A9,
        _xlfn._xlws.FILTER(
            INDIRECT("'"&amp;E$1&amp;"'!A2:E1000"), (INDIRECT("'"&amp;E$1&amp;"'!B2:B1000")=$B9) * (INDIRECT("'"&amp;E$1&amp;"'!C2:C1000")=$C9)
        ),
        5,
        FALSE
    )
)</f>
        <v/>
      </c>
      <c r="F9" s="29">
        <f t="array" ref="F9">IF(
    VLOOKUP(
        $A9,
        _xlfn._xlws.FILTER(
            INDIRECT("'"&amp;F$1&amp;"'!A2:E1000"), (INDIRECT("'"&amp;F$1&amp;"'!B2:B1000")=$B9) * (INDIRECT("'"&amp;F$1&amp;"'!C2:C1000")=$C9)
        ),
        5,
        FALSE
    )=0,
    "",
    VLOOKUP(
        $A9,
        _xlfn._xlws.FILTER(
            INDIRECT("'"&amp;F$1&amp;"'!A2:E1000"), (INDIRECT("'"&amp;F$1&amp;"'!B2:B1000")=$B9) * (INDIRECT("'"&amp;F$1&amp;"'!C2:C1000")=$C9)
        ),
        5,
        FALSE
    )
)</f>
        <v/>
      </c>
    </row>
    <row r="10">
      <c r="A10" s="28" t="inlineStr">
        <is>
          <t>Bianca</t>
        </is>
      </c>
      <c r="B10" s="7" t="inlineStr">
        <is>
          <t>Ibema</t>
        </is>
      </c>
      <c r="C10" s="7" t="n">
        <v>1</v>
      </c>
      <c r="D10" s="29">
        <f t="array" ref="D10">IF(
    VLOOKUP(
        $A10,
        _xlfn._xlws.FILTER(
            INDIRECT("'"&amp;D$1&amp;"'!A2:E1000"), (INDIRECT("'"&amp;D$1&amp;"'!B2:B1000")=$B10) * (INDIRECT("'"&amp;D$1&amp;"'!C2:C1000")=$C10)
        ),
        5,
        FALSE
    )=0,
    "",
    VLOOKUP(
        $A10,
        _xlfn._xlws.FILTER(
            INDIRECT("'"&amp;D$1&amp;"'!A2:E1000"), (INDIRECT("'"&amp;D$1&amp;"'!B2:B1000")=$B10) * (INDIRECT("'"&amp;D$1&amp;"'!C2:C1000")=$C10)
        ),
        5,
        FALSE
    )
)</f>
        <v/>
      </c>
      <c r="E10" s="29">
        <f t="array" ref="E10">IF(
    VLOOKUP(
        $A10,
        _xlfn._xlws.FILTER(
            INDIRECT("'"&amp;E$1&amp;"'!A2:E1000"), (INDIRECT("'"&amp;E$1&amp;"'!B2:B1000")=$B10) * (INDIRECT("'"&amp;E$1&amp;"'!C2:C1000")=$C10)
        ),
        5,
        FALSE
    )=0,
    "",
    VLOOKUP(
        $A10,
        _xlfn._xlws.FILTER(
            INDIRECT("'"&amp;E$1&amp;"'!A2:E1000"), (INDIRECT("'"&amp;E$1&amp;"'!B2:B1000")=$B10) * (INDIRECT("'"&amp;E$1&amp;"'!C2:C1000")=$C10)
        ),
        5,
        FALSE
    )
)</f>
        <v/>
      </c>
      <c r="F10" s="29">
        <f t="array" ref="F10">IF(
    VLOOKUP(
        $A10,
        _xlfn._xlws.FILTER(
            INDIRECT("'"&amp;F$1&amp;"'!A2:E1000"), (INDIRECT("'"&amp;F$1&amp;"'!B2:B1000")=$B10) * (INDIRECT("'"&amp;F$1&amp;"'!C2:C1000")=$C10)
        ),
        5,
        FALSE
    )=0,
    "",
    VLOOKUP(
        $A10,
        _xlfn._xlws.FILTER(
            INDIRECT("'"&amp;F$1&amp;"'!A2:E1000"), (INDIRECT("'"&amp;F$1&amp;"'!B2:B1000")=$B10) * (INDIRECT("'"&amp;F$1&amp;"'!C2:C1000")=$C10)
        ),
        5,
        FALSE
    )
)</f>
        <v/>
      </c>
    </row>
    <row r="11">
      <c r="A11" s="28" t="inlineStr">
        <is>
          <t>Bianca</t>
        </is>
      </c>
      <c r="B11" s="7" t="inlineStr">
        <is>
          <t>Iguatu</t>
        </is>
      </c>
      <c r="C11" s="7" t="n">
        <v>1</v>
      </c>
      <c r="D11" s="29">
        <f t="array" ref="D11">IF(
    VLOOKUP(
        $A11,
        _xlfn._xlws.FILTER(
            INDIRECT("'"&amp;D$1&amp;"'!A2:E1000"), (INDIRECT("'"&amp;D$1&amp;"'!B2:B1000")=$B11) * (INDIRECT("'"&amp;D$1&amp;"'!C2:C1000")=$C11)
        ),
        5,
        FALSE
    )=0,
    "",
    VLOOKUP(
        $A11,
        _xlfn._xlws.FILTER(
            INDIRECT("'"&amp;D$1&amp;"'!A2:E1000"), (INDIRECT("'"&amp;D$1&amp;"'!B2:B1000")=$B11) * (INDIRECT("'"&amp;D$1&amp;"'!C2:C1000")=$C11)
        ),
        5,
        FALSE
    )
)</f>
        <v/>
      </c>
      <c r="E11" s="29">
        <f t="array" ref="E11">IF(
    VLOOKUP(
        $A11,
        _xlfn._xlws.FILTER(
            INDIRECT("'"&amp;E$1&amp;"'!A2:E1000"), (INDIRECT("'"&amp;E$1&amp;"'!B2:B1000")=$B11) * (INDIRECT("'"&amp;E$1&amp;"'!C2:C1000")=$C11)
        ),
        5,
        FALSE
    )=0,
    "",
    VLOOKUP(
        $A11,
        _xlfn._xlws.FILTER(
            INDIRECT("'"&amp;E$1&amp;"'!A2:E1000"), (INDIRECT("'"&amp;E$1&amp;"'!B2:B1000")=$B11) * (INDIRECT("'"&amp;E$1&amp;"'!C2:C1000")=$C11)
        ),
        5,
        FALSE
    )
)</f>
        <v/>
      </c>
      <c r="F11" s="29">
        <f t="array" ref="F11">IF(
    VLOOKUP(
        $A11,
        _xlfn._xlws.FILTER(
            INDIRECT("'"&amp;F$1&amp;"'!A2:E1000"), (INDIRECT("'"&amp;F$1&amp;"'!B2:B1000")=$B11) * (INDIRECT("'"&amp;F$1&amp;"'!C2:C1000")=$C11)
        ),
        5,
        FALSE
    )=0,
    "",
    VLOOKUP(
        $A11,
        _xlfn._xlws.FILTER(
            INDIRECT("'"&amp;F$1&amp;"'!A2:E1000"), (INDIRECT("'"&amp;F$1&amp;"'!B2:B1000")=$B11) * (INDIRECT("'"&amp;F$1&amp;"'!C2:C1000")=$C11)
        ),
        5,
        FALSE
    )
)</f>
        <v/>
      </c>
    </row>
    <row r="12">
      <c r="A12" s="28" t="inlineStr">
        <is>
          <t>Bianca</t>
        </is>
      </c>
      <c r="B12" s="7" t="inlineStr">
        <is>
          <t>Tres Barras do Parana</t>
        </is>
      </c>
      <c r="C12" s="7" t="n">
        <v>1</v>
      </c>
      <c r="D12" s="29">
        <f t="array" ref="D12">IF(
    VLOOKUP(
        $A12,
        _xlfn._xlws.FILTER(
            INDIRECT("'"&amp;D$1&amp;"'!A2:E1000"), (INDIRECT("'"&amp;D$1&amp;"'!B2:B1000")=$B12) * (INDIRECT("'"&amp;D$1&amp;"'!C2:C1000")=$C12)
        ),
        5,
        FALSE
    )=0,
    "",
    VLOOKUP(
        $A12,
        _xlfn._xlws.FILTER(
            INDIRECT("'"&amp;D$1&amp;"'!A2:E1000"), (INDIRECT("'"&amp;D$1&amp;"'!B2:B1000")=$B12) * (INDIRECT("'"&amp;D$1&amp;"'!C2:C1000")=$C12)
        ),
        5,
        FALSE
    )
)</f>
        <v/>
      </c>
      <c r="E12" s="29">
        <f t="array" ref="E12">IF(
    VLOOKUP(
        $A12,
        _xlfn._xlws.FILTER(
            INDIRECT("'"&amp;E$1&amp;"'!A2:E1000"), (INDIRECT("'"&amp;E$1&amp;"'!B2:B1000")=$B12) * (INDIRECT("'"&amp;E$1&amp;"'!C2:C1000")=$C12)
        ),
        5,
        FALSE
    )=0,
    "",
    VLOOKUP(
        $A12,
        _xlfn._xlws.FILTER(
            INDIRECT("'"&amp;E$1&amp;"'!A2:E1000"), (INDIRECT("'"&amp;E$1&amp;"'!B2:B1000")=$B12) * (INDIRECT("'"&amp;E$1&amp;"'!C2:C1000")=$C12)
        ),
        5,
        FALSE
    )
)</f>
        <v/>
      </c>
      <c r="F12" s="29">
        <f t="array" ref="F12">IF(
    VLOOKUP(
        $A12,
        _xlfn._xlws.FILTER(
            INDIRECT("'"&amp;F$1&amp;"'!A2:E1000"), (INDIRECT("'"&amp;F$1&amp;"'!B2:B1000")=$B12) * (INDIRECT("'"&amp;F$1&amp;"'!C2:C1000")=$C12)
        ),
        5,
        FALSE
    )=0,
    "",
    VLOOKUP(
        $A12,
        _xlfn._xlws.FILTER(
            INDIRECT("'"&amp;F$1&amp;"'!A2:E1000"), (INDIRECT("'"&amp;F$1&amp;"'!B2:B1000")=$B12) * (INDIRECT("'"&amp;F$1&amp;"'!C2:C1000")=$C12)
        ),
        5,
        FALSE
    )
)</f>
        <v/>
      </c>
    </row>
    <row r="13"/>
    <row r="14" ht="15.75" customHeight="1">
      <c r="A14" s="30" t="inlineStr">
        <is>
          <t>Regional</t>
        </is>
      </c>
      <c r="B14" s="27" t="inlineStr">
        <is>
          <t>Municípios</t>
        </is>
      </c>
      <c r="C14" s="27" t="inlineStr">
        <is>
          <t>UVR</t>
        </is>
      </c>
      <c r="D14" s="27" t="inlineStr">
        <is>
          <t>Form 1 - Município</t>
        </is>
      </c>
      <c r="E14" s="27" t="inlineStr">
        <is>
          <t>Form 2 - UVR</t>
        </is>
      </c>
      <c r="F14" s="27" t="inlineStr">
        <is>
          <t>Form 3 - Empreendimento</t>
        </is>
      </c>
    </row>
    <row r="15">
      <c r="A15" s="31" t="inlineStr">
        <is>
          <t>Gabriel</t>
        </is>
      </c>
      <c r="B15" s="7" t="inlineStr">
        <is>
          <t>Altônia</t>
        </is>
      </c>
      <c r="C15" s="7" t="n">
        <v>1</v>
      </c>
      <c r="D15" s="29">
        <f t="array" ref="D15">IF(
    VLOOKUP(
        $A15,
        _xlfn._xlws.FILTER(
            INDIRECT("'"&amp;D$1&amp;"'!A2:E1000"), (INDIRECT("'"&amp;D$1&amp;"'!B2:B1000")=$B15) * (INDIRECT("'"&amp;D$1&amp;"'!C2:C1000")=$C15)
        ),
        5,
        FALSE
    )=0,
    "",
    VLOOKUP(
        $A15,
        _xlfn._xlws.FILTER(
            INDIRECT("'"&amp;D$1&amp;"'!A2:E1000"), (INDIRECT("'"&amp;D$1&amp;"'!B2:B1000")=$B15) * (INDIRECT("'"&amp;D$1&amp;"'!C2:C1000")=$C15)
        ),
        5,
        FALSE
    )
)</f>
        <v/>
      </c>
      <c r="E15" s="29">
        <f t="array" ref="E15">IF(
    VLOOKUP(
        $A15,
        _xlfn._xlws.FILTER(
            INDIRECT("'"&amp;E$1&amp;"'!A2:E1000"), (INDIRECT("'"&amp;E$1&amp;"'!B2:B1000")=$B15) * (INDIRECT("'"&amp;E$1&amp;"'!C2:C1000")=$C15)
        ),
        5,
        FALSE
    )=0,
    "",
    VLOOKUP(
        $A15,
        _xlfn._xlws.FILTER(
            INDIRECT("'"&amp;E$1&amp;"'!A2:E1000"), (INDIRECT("'"&amp;E$1&amp;"'!B2:B1000")=$B15) * (INDIRECT("'"&amp;E$1&amp;"'!C2:C1000")=$C15)
        ),
        5,
        FALSE
    )
)</f>
        <v/>
      </c>
      <c r="F15" s="29">
        <f t="array" ref="F15">IF(
    VLOOKUP(
        $A15,
        _xlfn._xlws.FILTER(
            INDIRECT("'"&amp;F$1&amp;"'!A2:E1000"), (INDIRECT("'"&amp;F$1&amp;"'!B2:B1000")=$B15) * (INDIRECT("'"&amp;F$1&amp;"'!C2:C1000")=$C15)
        ),
        5,
        FALSE
    )=0,
    "",
    VLOOKUP(
        $A15,
        _xlfn._xlws.FILTER(
            INDIRECT("'"&amp;F$1&amp;"'!A2:E1000"), (INDIRECT("'"&amp;F$1&amp;"'!B2:B1000")=$B15) * (INDIRECT("'"&amp;F$1&amp;"'!C2:C1000")=$C15)
        ),
        5,
        FALSE
    )
)</f>
        <v/>
      </c>
    </row>
    <row r="16">
      <c r="A16" s="31" t="inlineStr">
        <is>
          <t>Gabriel</t>
        </is>
      </c>
      <c r="B16" s="7" t="inlineStr">
        <is>
          <t>Francisco Alves</t>
        </is>
      </c>
      <c r="C16" s="7" t="n">
        <v>1</v>
      </c>
      <c r="D16" s="29">
        <f t="array" ref="D16">IF(
    VLOOKUP(
        $A16,
        _xlfn._xlws.FILTER(
            INDIRECT("'"&amp;D$1&amp;"'!A2:E1000"), (INDIRECT("'"&amp;D$1&amp;"'!B2:B1000")=$B16) * (INDIRECT("'"&amp;D$1&amp;"'!C2:C1000")=$C16)
        ),
        5,
        FALSE
    )=0,
    "",
    VLOOKUP(
        $A16,
        _xlfn._xlws.FILTER(
            INDIRECT("'"&amp;D$1&amp;"'!A2:E1000"), (INDIRECT("'"&amp;D$1&amp;"'!B2:B1000")=$B16) * (INDIRECT("'"&amp;D$1&amp;"'!C2:C1000")=$C16)
        ),
        5,
        FALSE
    )
)</f>
        <v/>
      </c>
      <c r="E16" s="29">
        <f t="array" ref="E16">IF(
    VLOOKUP(
        $A16,
        _xlfn._xlws.FILTER(
            INDIRECT("'"&amp;E$1&amp;"'!A2:E1000"), (INDIRECT("'"&amp;E$1&amp;"'!B2:B1000")=$B16) * (INDIRECT("'"&amp;E$1&amp;"'!C2:C1000")=$C16)
        ),
        5,
        FALSE
    )=0,
    "",
    VLOOKUP(
        $A16,
        _xlfn._xlws.FILTER(
            INDIRECT("'"&amp;E$1&amp;"'!A2:E1000"), (INDIRECT("'"&amp;E$1&amp;"'!B2:B1000")=$B16) * (INDIRECT("'"&amp;E$1&amp;"'!C2:C1000")=$C16)
        ),
        5,
        FALSE
    )
)</f>
        <v/>
      </c>
      <c r="F16" s="29">
        <f t="array" ref="F16">IF(
    VLOOKUP(
        $A16,
        _xlfn._xlws.FILTER(
            INDIRECT("'"&amp;F$1&amp;"'!A2:E1000"), (INDIRECT("'"&amp;F$1&amp;"'!B2:B1000")=$B16) * (INDIRECT("'"&amp;F$1&amp;"'!C2:C1000")=$C16)
        ),
        5,
        FALSE
    )=0,
    "",
    VLOOKUP(
        $A16,
        _xlfn._xlws.FILTER(
            INDIRECT("'"&amp;F$1&amp;"'!A2:E1000"), (INDIRECT("'"&amp;F$1&amp;"'!B2:B1000")=$B16) * (INDIRECT("'"&amp;F$1&amp;"'!C2:C1000")=$C16)
        ),
        5,
        FALSE
    )
)</f>
        <v/>
      </c>
    </row>
    <row r="17">
      <c r="A17" s="31" t="inlineStr">
        <is>
          <t>Gabriel</t>
        </is>
      </c>
      <c r="B17" s="7" t="inlineStr">
        <is>
          <t>Guaira</t>
        </is>
      </c>
      <c r="C17" s="7" t="n">
        <v>1</v>
      </c>
      <c r="D17" s="29">
        <f t="array" ref="D17">IF(
    VLOOKUP(
        $A17,
        _xlfn._xlws.FILTER(
            INDIRECT("'"&amp;D$1&amp;"'!A2:E1000"), (INDIRECT("'"&amp;D$1&amp;"'!B2:B1000")=$B17) * (INDIRECT("'"&amp;D$1&amp;"'!C2:C1000")=$C17)
        ),
        5,
        FALSE
    )=0,
    "",
    VLOOKUP(
        $A17,
        _xlfn._xlws.FILTER(
            INDIRECT("'"&amp;D$1&amp;"'!A2:E1000"), (INDIRECT("'"&amp;D$1&amp;"'!B2:B1000")=$B17) * (INDIRECT("'"&amp;D$1&amp;"'!C2:C1000")=$C17)
        ),
        5,
        FALSE
    )
)</f>
        <v/>
      </c>
      <c r="E17" s="29">
        <f t="array" ref="E17">IF(
    VLOOKUP(
        $A17,
        _xlfn._xlws.FILTER(
            INDIRECT("'"&amp;E$1&amp;"'!A2:E1000"), (INDIRECT("'"&amp;E$1&amp;"'!B2:B1000")=$B17) * (INDIRECT("'"&amp;E$1&amp;"'!C2:C1000")=$C17)
        ),
        5,
        FALSE
    )=0,
    "",
    VLOOKUP(
        $A17,
        _xlfn._xlws.FILTER(
            INDIRECT("'"&amp;E$1&amp;"'!A2:E1000"), (INDIRECT("'"&amp;E$1&amp;"'!B2:B1000")=$B17) * (INDIRECT("'"&amp;E$1&amp;"'!C2:C1000")=$C17)
        ),
        5,
        FALSE
    )
)</f>
        <v/>
      </c>
      <c r="F17" s="29">
        <f t="array" ref="F17">IF(
    VLOOKUP(
        $A17,
        _xlfn._xlws.FILTER(
            INDIRECT("'"&amp;F$1&amp;"'!A2:E1000"), (INDIRECT("'"&amp;F$1&amp;"'!B2:B1000")=$B17) * (INDIRECT("'"&amp;F$1&amp;"'!C2:C1000")=$C17)
        ),
        5,
        FALSE
    )=0,
    "",
    VLOOKUP(
        $A17,
        _xlfn._xlws.FILTER(
            INDIRECT("'"&amp;F$1&amp;"'!A2:E1000"), (INDIRECT("'"&amp;F$1&amp;"'!B2:B1000")=$B17) * (INDIRECT("'"&amp;F$1&amp;"'!C2:C1000")=$C17)
        ),
        5,
        FALSE
    )
)</f>
        <v/>
      </c>
    </row>
    <row r="18">
      <c r="A18" s="31" t="inlineStr">
        <is>
          <t>Gabriel</t>
        </is>
      </c>
      <c r="B18" s="7" t="inlineStr">
        <is>
          <t>Mercedes</t>
        </is>
      </c>
      <c r="C18" s="7" t="n">
        <v>1</v>
      </c>
      <c r="D18" s="29">
        <f t="array" ref="D18">IF(
    VLOOKUP(
        $A18,
        _xlfn._xlws.FILTER(
            INDIRECT("'"&amp;D$1&amp;"'!A2:E1000"), (INDIRECT("'"&amp;D$1&amp;"'!B2:B1000")=$B18) * (INDIRECT("'"&amp;D$1&amp;"'!C2:C1000")=$C18)
        ),
        5,
        FALSE
    )=0,
    "",
    VLOOKUP(
        $A18,
        _xlfn._xlws.FILTER(
            INDIRECT("'"&amp;D$1&amp;"'!A2:E1000"), (INDIRECT("'"&amp;D$1&amp;"'!B2:B1000")=$B18) * (INDIRECT("'"&amp;D$1&amp;"'!C2:C1000")=$C18)
        ),
        5,
        FALSE
    )
)</f>
        <v/>
      </c>
      <c r="E18" s="29">
        <f t="array" ref="E18">IF(
    VLOOKUP(
        $A18,
        _xlfn._xlws.FILTER(
            INDIRECT("'"&amp;E$1&amp;"'!A2:E1000"), (INDIRECT("'"&amp;E$1&amp;"'!B2:B1000")=$B18) * (INDIRECT("'"&amp;E$1&amp;"'!C2:C1000")=$C18)
        ),
        5,
        FALSE
    )=0,
    "",
    VLOOKUP(
        $A18,
        _xlfn._xlws.FILTER(
            INDIRECT("'"&amp;E$1&amp;"'!A2:E1000"), (INDIRECT("'"&amp;E$1&amp;"'!B2:B1000")=$B18) * (INDIRECT("'"&amp;E$1&amp;"'!C2:C1000")=$C18)
        ),
        5,
        FALSE
    )
)</f>
        <v/>
      </c>
      <c r="F18" s="29">
        <f t="array" ref="F18">IF(
    VLOOKUP(
        $A18,
        _xlfn._xlws.FILTER(
            INDIRECT("'"&amp;F$1&amp;"'!A2:E1000"), (INDIRECT("'"&amp;F$1&amp;"'!B2:B1000")=$B18) * (INDIRECT("'"&amp;F$1&amp;"'!C2:C1000")=$C18)
        ),
        5,
        FALSE
    )=0,
    "",
    VLOOKUP(
        $A18,
        _xlfn._xlws.FILTER(
            INDIRECT("'"&amp;F$1&amp;"'!A2:E1000"), (INDIRECT("'"&amp;F$1&amp;"'!B2:B1000")=$B18) * (INDIRECT("'"&amp;F$1&amp;"'!C2:C1000")=$C18)
        ),
        5,
        FALSE
    )
)</f>
        <v/>
      </c>
    </row>
    <row r="19">
      <c r="A19" s="31" t="inlineStr">
        <is>
          <t>Gabriel</t>
        </is>
      </c>
      <c r="B19" s="7" t="inlineStr">
        <is>
          <t>Mundo Novo</t>
        </is>
      </c>
      <c r="C19" s="7" t="n">
        <v>1</v>
      </c>
      <c r="D19" s="29">
        <f t="array" ref="D19">IF(
    VLOOKUP(
        $A19,
        _xlfn._xlws.FILTER(
            INDIRECT("'"&amp;D$1&amp;"'!A2:E1000"), (INDIRECT("'"&amp;D$1&amp;"'!B2:B1000")=$B19) * (INDIRECT("'"&amp;D$1&amp;"'!C2:C1000")=$C19)
        ),
        5,
        FALSE
    )=0,
    "",
    VLOOKUP(
        $A19,
        _xlfn._xlws.FILTER(
            INDIRECT("'"&amp;D$1&amp;"'!A2:E1000"), (INDIRECT("'"&amp;D$1&amp;"'!B2:B1000")=$B19) * (INDIRECT("'"&amp;D$1&amp;"'!C2:C1000")=$C19)
        ),
        5,
        FALSE
    )
)</f>
        <v/>
      </c>
      <c r="E19" s="29">
        <f t="array" ref="E19">IF(
    VLOOKUP(
        $A19,
        _xlfn._xlws.FILTER(
            INDIRECT("'"&amp;E$1&amp;"'!A2:E1000"), (INDIRECT("'"&amp;E$1&amp;"'!B2:B1000")=$B19) * (INDIRECT("'"&amp;E$1&amp;"'!C2:C1000")=$C19)
        ),
        5,
        FALSE
    )=0,
    "",
    VLOOKUP(
        $A19,
        _xlfn._xlws.FILTER(
            INDIRECT("'"&amp;E$1&amp;"'!A2:E1000"), (INDIRECT("'"&amp;E$1&amp;"'!B2:B1000")=$B19) * (INDIRECT("'"&amp;E$1&amp;"'!C2:C1000")=$C19)
        ),
        5,
        FALSE
    )
)</f>
        <v/>
      </c>
      <c r="F19" s="29">
        <f t="array" ref="F19">IF(
    VLOOKUP(
        $A19,
        _xlfn._xlws.FILTER(
            INDIRECT("'"&amp;F$1&amp;"'!A2:E1000"), (INDIRECT("'"&amp;F$1&amp;"'!B2:B1000")=$B19) * (INDIRECT("'"&amp;F$1&amp;"'!C2:C1000")=$C19)
        ),
        5,
        FALSE
    )=0,
    "",
    VLOOKUP(
        $A19,
        _xlfn._xlws.FILTER(
            INDIRECT("'"&amp;F$1&amp;"'!A2:E1000"), (INDIRECT("'"&amp;F$1&amp;"'!B2:B1000")=$B19) * (INDIRECT("'"&amp;F$1&amp;"'!C2:C1000")=$C19)
        ),
        5,
        FALSE
    )
)</f>
        <v/>
      </c>
    </row>
    <row r="20">
      <c r="A20" s="31" t="inlineStr">
        <is>
          <t>Gabriel</t>
        </is>
      </c>
      <c r="B20" s="7" t="inlineStr">
        <is>
          <t>Nova Santa Rosa</t>
        </is>
      </c>
      <c r="C20" s="7" t="n">
        <v>1</v>
      </c>
      <c r="D20" s="29">
        <f t="array" ref="D20">IF(
    VLOOKUP(
        $A20,
        _xlfn._xlws.FILTER(
            INDIRECT("'"&amp;D$1&amp;"'!A2:E1000"), (INDIRECT("'"&amp;D$1&amp;"'!B2:B1000")=$B20) * (INDIRECT("'"&amp;D$1&amp;"'!C2:C1000")=$C20)
        ),
        5,
        FALSE
    )=0,
    "",
    VLOOKUP(
        $A20,
        _xlfn._xlws.FILTER(
            INDIRECT("'"&amp;D$1&amp;"'!A2:E1000"), (INDIRECT("'"&amp;D$1&amp;"'!B2:B1000")=$B20) * (INDIRECT("'"&amp;D$1&amp;"'!C2:C1000")=$C20)
        ),
        5,
        FALSE
    )
)</f>
        <v/>
      </c>
      <c r="E20" s="29">
        <f t="array" ref="E20">IF(
    VLOOKUP(
        $A20,
        _xlfn._xlws.FILTER(
            INDIRECT("'"&amp;E$1&amp;"'!A2:E1000"), (INDIRECT("'"&amp;E$1&amp;"'!B2:B1000")=$B20) * (INDIRECT("'"&amp;E$1&amp;"'!C2:C1000")=$C20)
        ),
        5,
        FALSE
    )=0,
    "",
    VLOOKUP(
        $A20,
        _xlfn._xlws.FILTER(
            INDIRECT("'"&amp;E$1&amp;"'!A2:E1000"), (INDIRECT("'"&amp;E$1&amp;"'!B2:B1000")=$B20) * (INDIRECT("'"&amp;E$1&amp;"'!C2:C1000")=$C20)
        ),
        5,
        FALSE
    )
)</f>
        <v/>
      </c>
      <c r="F20" s="29">
        <f t="array" ref="F20">IF(
    VLOOKUP(
        $A20,
        _xlfn._xlws.FILTER(
            INDIRECT("'"&amp;F$1&amp;"'!A2:E1000"), (INDIRECT("'"&amp;F$1&amp;"'!B2:B1000")=$B20) * (INDIRECT("'"&amp;F$1&amp;"'!C2:C1000")=$C20)
        ),
        5,
        FALSE
    )=0,
    "",
    VLOOKUP(
        $A20,
        _xlfn._xlws.FILTER(
            INDIRECT("'"&amp;F$1&amp;"'!A2:E1000"), (INDIRECT("'"&amp;F$1&amp;"'!B2:B1000")=$B20) * (INDIRECT("'"&amp;F$1&amp;"'!C2:C1000")=$C20)
        ),
        5,
        FALSE
    )
)</f>
        <v/>
      </c>
    </row>
    <row r="21">
      <c r="A21" s="31" t="inlineStr">
        <is>
          <t>Gabriel</t>
        </is>
      </c>
      <c r="B21" s="7" t="inlineStr">
        <is>
          <t>Ouro Verde do Oeste</t>
        </is>
      </c>
      <c r="C21" s="7" t="n">
        <v>1</v>
      </c>
      <c r="D21" s="29">
        <f t="array" ref="D21">IF(
    VLOOKUP(
        $A21,
        _xlfn._xlws.FILTER(
            INDIRECT("'"&amp;D$1&amp;"'!A2:E1000"), (INDIRECT("'"&amp;D$1&amp;"'!B2:B1000")=$B21) * (INDIRECT("'"&amp;D$1&amp;"'!C2:C1000")=$C21)
        ),
        5,
        FALSE
    )=0,
    "",
    VLOOKUP(
        $A21,
        _xlfn._xlws.FILTER(
            INDIRECT("'"&amp;D$1&amp;"'!A2:E1000"), (INDIRECT("'"&amp;D$1&amp;"'!B2:B1000")=$B21) * (INDIRECT("'"&amp;D$1&amp;"'!C2:C1000")=$C21)
        ),
        5,
        FALSE
    )
)</f>
        <v/>
      </c>
      <c r="E21" s="29">
        <f t="array" ref="E21">IF(
    VLOOKUP(
        $A21,
        _xlfn._xlws.FILTER(
            INDIRECT("'"&amp;E$1&amp;"'!A2:E1000"), (INDIRECT("'"&amp;E$1&amp;"'!B2:B1000")=$B21) * (INDIRECT("'"&amp;E$1&amp;"'!C2:C1000")=$C21)
        ),
        5,
        FALSE
    )=0,
    "",
    VLOOKUP(
        $A21,
        _xlfn._xlws.FILTER(
            INDIRECT("'"&amp;E$1&amp;"'!A2:E1000"), (INDIRECT("'"&amp;E$1&amp;"'!B2:B1000")=$B21) * (INDIRECT("'"&amp;E$1&amp;"'!C2:C1000")=$C21)
        ),
        5,
        FALSE
    )
)</f>
        <v/>
      </c>
      <c r="F21" s="29">
        <f t="array" ref="F21">IF(
    VLOOKUP(
        $A21,
        _xlfn._xlws.FILTER(
            INDIRECT("'"&amp;F$1&amp;"'!A2:E1000"), (INDIRECT("'"&amp;F$1&amp;"'!B2:B1000")=$B21) * (INDIRECT("'"&amp;F$1&amp;"'!C2:C1000")=$C21)
        ),
        5,
        FALSE
    )=0,
    "",
    VLOOKUP(
        $A21,
        _xlfn._xlws.FILTER(
            INDIRECT("'"&amp;F$1&amp;"'!A2:E1000"), (INDIRECT("'"&amp;F$1&amp;"'!B2:B1000")=$B21) * (INDIRECT("'"&amp;F$1&amp;"'!C2:C1000")=$C21)
        ),
        5,
        FALSE
    )
)</f>
        <v/>
      </c>
    </row>
    <row r="22">
      <c r="A22" s="31" t="inlineStr">
        <is>
          <t>Gabriel</t>
        </is>
      </c>
      <c r="B22" s="7" t="inlineStr">
        <is>
          <t>Quatro Pontes</t>
        </is>
      </c>
      <c r="C22" s="7" t="n">
        <v>1</v>
      </c>
      <c r="D22" s="29">
        <f t="array" ref="D22">IF(
    VLOOKUP(
        $A22,
        _xlfn._xlws.FILTER(
            INDIRECT("'"&amp;D$1&amp;"'!A2:E1000"), (INDIRECT("'"&amp;D$1&amp;"'!B2:B1000")=$B22) * (INDIRECT("'"&amp;D$1&amp;"'!C2:C1000")=$C22)
        ),
        5,
        FALSE
    )=0,
    "",
    VLOOKUP(
        $A22,
        _xlfn._xlws.FILTER(
            INDIRECT("'"&amp;D$1&amp;"'!A2:E1000"), (INDIRECT("'"&amp;D$1&amp;"'!B2:B1000")=$B22) * (INDIRECT("'"&amp;D$1&amp;"'!C2:C1000")=$C22)
        ),
        5,
        FALSE
    )
)</f>
        <v/>
      </c>
      <c r="E22" s="29">
        <f t="array" ref="E22">IF(
    VLOOKUP(
        $A22,
        _xlfn._xlws.FILTER(
            INDIRECT("'"&amp;E$1&amp;"'!A2:E1000"), (INDIRECT("'"&amp;E$1&amp;"'!B2:B1000")=$B22) * (INDIRECT("'"&amp;E$1&amp;"'!C2:C1000")=$C22)
        ),
        5,
        FALSE
    )=0,
    "",
    VLOOKUP(
        $A22,
        _xlfn._xlws.FILTER(
            INDIRECT("'"&amp;E$1&amp;"'!A2:E1000"), (INDIRECT("'"&amp;E$1&amp;"'!B2:B1000")=$B22) * (INDIRECT("'"&amp;E$1&amp;"'!C2:C1000")=$C22)
        ),
        5,
        FALSE
    )
)</f>
        <v/>
      </c>
      <c r="F22" s="29">
        <f t="array" ref="F22">IF(
    VLOOKUP(
        $A22,
        _xlfn._xlws.FILTER(
            INDIRECT("'"&amp;F$1&amp;"'!A2:E1000"), (INDIRECT("'"&amp;F$1&amp;"'!B2:B1000")=$B22) * (INDIRECT("'"&amp;F$1&amp;"'!C2:C1000")=$C22)
        ),
        5,
        FALSE
    )=0,
    "",
    VLOOKUP(
        $A22,
        _xlfn._xlws.FILTER(
            INDIRECT("'"&amp;F$1&amp;"'!A2:E1000"), (INDIRECT("'"&amp;F$1&amp;"'!B2:B1000")=$B22) * (INDIRECT("'"&amp;F$1&amp;"'!C2:C1000")=$C22)
        ),
        5,
        FALSE
    )
)</f>
        <v/>
      </c>
    </row>
    <row r="23">
      <c r="A23" s="31" t="inlineStr">
        <is>
          <t>Gabriel</t>
        </is>
      </c>
      <c r="B23" s="7" t="inlineStr">
        <is>
          <t>São Jose das Palmeiras</t>
        </is>
      </c>
      <c r="C23" s="7" t="n">
        <v>1</v>
      </c>
      <c r="D23" s="29">
        <f t="array" ref="D23">IF(
    VLOOKUP(
        $A23,
        _xlfn._xlws.FILTER(
            INDIRECT("'"&amp;D$1&amp;"'!A2:E1000"), (INDIRECT("'"&amp;D$1&amp;"'!B2:B1000")=$B23) * (INDIRECT("'"&amp;D$1&amp;"'!C2:C1000")=$C23)
        ),
        5,
        FALSE
    )=0,
    "",
    VLOOKUP(
        $A23,
        _xlfn._xlws.FILTER(
            INDIRECT("'"&amp;D$1&amp;"'!A2:E1000"), (INDIRECT("'"&amp;D$1&amp;"'!B2:B1000")=$B23) * (INDIRECT("'"&amp;D$1&amp;"'!C2:C1000")=$C23)
        ),
        5,
        FALSE
    )
)</f>
        <v/>
      </c>
      <c r="E23" s="29">
        <f t="array" ref="E23">IF(
    VLOOKUP(
        $A23,
        _xlfn._xlws.FILTER(
            INDIRECT("'"&amp;E$1&amp;"'!A2:E1000"), (INDIRECT("'"&amp;E$1&amp;"'!B2:B1000")=$B23) * (INDIRECT("'"&amp;E$1&amp;"'!C2:C1000")=$C23)
        ),
        5,
        FALSE
    )=0,
    "",
    VLOOKUP(
        $A23,
        _xlfn._xlws.FILTER(
            INDIRECT("'"&amp;E$1&amp;"'!A2:E1000"), (INDIRECT("'"&amp;E$1&amp;"'!B2:B1000")=$B23) * (INDIRECT("'"&amp;E$1&amp;"'!C2:C1000")=$C23)
        ),
        5,
        FALSE
    )
)</f>
        <v/>
      </c>
      <c r="F23" s="29">
        <f t="array" ref="F23">IF(
    VLOOKUP(
        $A23,
        _xlfn._xlws.FILTER(
            INDIRECT("'"&amp;F$1&amp;"'!A2:E1000"), (INDIRECT("'"&amp;F$1&amp;"'!B2:B1000")=$B23) * (INDIRECT("'"&amp;F$1&amp;"'!C2:C1000")=$C23)
        ),
        5,
        FALSE
    )=0,
    "",
    VLOOKUP(
        $A23,
        _xlfn._xlws.FILTER(
            INDIRECT("'"&amp;F$1&amp;"'!A2:E1000"), (INDIRECT("'"&amp;F$1&amp;"'!B2:B1000")=$B23) * (INDIRECT("'"&amp;F$1&amp;"'!C2:C1000")=$C23)
        ),
        5,
        FALSE
    )
)</f>
        <v/>
      </c>
    </row>
    <row r="24">
      <c r="A24" s="31" t="inlineStr">
        <is>
          <t>Gabriel</t>
        </is>
      </c>
      <c r="B24" s="7" t="inlineStr">
        <is>
          <t>Terra Roxa</t>
        </is>
      </c>
      <c r="C24" s="7" t="n">
        <v>1</v>
      </c>
      <c r="D24" s="29">
        <f t="array" ref="D24">IF(
    VLOOKUP(
        $A24,
        _xlfn._xlws.FILTER(
            INDIRECT("'"&amp;D$1&amp;"'!A2:E1000"), (INDIRECT("'"&amp;D$1&amp;"'!B2:B1000")=$B24) * (INDIRECT("'"&amp;D$1&amp;"'!C2:C1000")=$C24)
        ),
        5,
        FALSE
    )=0,
    "",
    VLOOKUP(
        $A24,
        _xlfn._xlws.FILTER(
            INDIRECT("'"&amp;D$1&amp;"'!A2:E1000"), (INDIRECT("'"&amp;D$1&amp;"'!B2:B1000")=$B24) * (INDIRECT("'"&amp;D$1&amp;"'!C2:C1000")=$C24)
        ),
        5,
        FALSE
    )
)</f>
        <v/>
      </c>
      <c r="E24" s="29">
        <f t="array" ref="E24">IF(
    VLOOKUP(
        $A24,
        _xlfn._xlws.FILTER(
            INDIRECT("'"&amp;E$1&amp;"'!A2:E1000"), (INDIRECT("'"&amp;E$1&amp;"'!B2:B1000")=$B24) * (INDIRECT("'"&amp;E$1&amp;"'!C2:C1000")=$C24)
        ),
        5,
        FALSE
    )=0,
    "",
    VLOOKUP(
        $A24,
        _xlfn._xlws.FILTER(
            INDIRECT("'"&amp;E$1&amp;"'!A2:E1000"), (INDIRECT("'"&amp;E$1&amp;"'!B2:B1000")=$B24) * (INDIRECT("'"&amp;E$1&amp;"'!C2:C1000")=$C24)
        ),
        5,
        FALSE
    )
)</f>
        <v/>
      </c>
      <c r="F24" s="29">
        <f t="array" ref="F24">IF(
    VLOOKUP(
        $A24,
        _xlfn._xlws.FILTER(
            INDIRECT("'"&amp;F$1&amp;"'!A2:E1000"), (INDIRECT("'"&amp;F$1&amp;"'!B2:B1000")=$B24) * (INDIRECT("'"&amp;F$1&amp;"'!C2:C1000")=$C24)
        ),
        5,
        FALSE
    )=0,
    "",
    VLOOKUP(
        $A24,
        _xlfn._xlws.FILTER(
            INDIRECT("'"&amp;F$1&amp;"'!A2:E1000"), (INDIRECT("'"&amp;F$1&amp;"'!B2:B1000")=$B24) * (INDIRECT("'"&amp;F$1&amp;"'!C2:C1000")=$C24)
        ),
        5,
        FALSE
    )
)</f>
        <v/>
      </c>
    </row>
    <row r="25">
      <c r="A25" s="31" t="inlineStr">
        <is>
          <t>Gabriel</t>
        </is>
      </c>
      <c r="B25" s="7" t="inlineStr">
        <is>
          <t>Toledo</t>
        </is>
      </c>
      <c r="C25" s="7" t="n">
        <v>1</v>
      </c>
      <c r="D25" s="29">
        <f t="array" ref="D25">IF(
    VLOOKUP(
        $A25,
        _xlfn._xlws.FILTER(
            INDIRECT("'"&amp;D$1&amp;"'!A2:E1000"), (INDIRECT("'"&amp;D$1&amp;"'!B2:B1000")=$B25) * (INDIRECT("'"&amp;D$1&amp;"'!C2:C1000")=$C25)
        ),
        5,
        FALSE
    )=0,
    "",
    VLOOKUP(
        $A25,
        _xlfn._xlws.FILTER(
            INDIRECT("'"&amp;D$1&amp;"'!A2:E1000"), (INDIRECT("'"&amp;D$1&amp;"'!B2:B1000")=$B25) * (INDIRECT("'"&amp;D$1&amp;"'!C2:C1000")=$C25)
        ),
        5,
        FALSE
    )
)</f>
        <v/>
      </c>
      <c r="E25" s="29">
        <f t="array" ref="E25">IF(
    VLOOKUP(
        $A25,
        _xlfn._xlws.FILTER(
            INDIRECT("'"&amp;E$1&amp;"'!A2:E1000"), (INDIRECT("'"&amp;E$1&amp;"'!B2:B1000")=$B25) * (INDIRECT("'"&amp;E$1&amp;"'!C2:C1000")=$C25)
        ),
        5,
        FALSE
    )=0,
    "",
    VLOOKUP(
        $A25,
        _xlfn._xlws.FILTER(
            INDIRECT("'"&amp;E$1&amp;"'!A2:E1000"), (INDIRECT("'"&amp;E$1&amp;"'!B2:B1000")=$B25) * (INDIRECT("'"&amp;E$1&amp;"'!C2:C1000")=$C25)
        ),
        5,
        FALSE
    )
)</f>
        <v/>
      </c>
      <c r="F25" s="29">
        <f t="array" ref="F25">IF(
    VLOOKUP(
        $A25,
        _xlfn._xlws.FILTER(
            INDIRECT("'"&amp;F$1&amp;"'!A2:E1000"), (INDIRECT("'"&amp;F$1&amp;"'!B2:B1000")=$B25) * (INDIRECT("'"&amp;F$1&amp;"'!C2:C1000")=$C25)
        ),
        5,
        FALSE
    )=0,
    "",
    VLOOKUP(
        $A25,
        _xlfn._xlws.FILTER(
            INDIRECT("'"&amp;F$1&amp;"'!A2:E1000"), (INDIRECT("'"&amp;F$1&amp;"'!B2:B1000")=$B25) * (INDIRECT("'"&amp;F$1&amp;"'!C2:C1000")=$C25)
        ),
        5,
        FALSE
    )
)</f>
        <v/>
      </c>
    </row>
    <row r="26"/>
    <row r="27" ht="15.75" customHeight="1">
      <c r="A27" s="32" t="inlineStr">
        <is>
          <t>Regional</t>
        </is>
      </c>
      <c r="B27" s="27" t="inlineStr">
        <is>
          <t>Municípios</t>
        </is>
      </c>
      <c r="C27" s="27" t="inlineStr">
        <is>
          <t>UVR</t>
        </is>
      </c>
      <c r="D27" s="27" t="inlineStr">
        <is>
          <t>Form 1 - Município</t>
        </is>
      </c>
      <c r="E27" s="27" t="inlineStr">
        <is>
          <t>Form 2 - UVR</t>
        </is>
      </c>
      <c r="F27" s="27" t="inlineStr">
        <is>
          <t>Form 3 - Empreendimento</t>
        </is>
      </c>
    </row>
    <row r="28">
      <c r="A28" s="33" t="inlineStr">
        <is>
          <t>Gustavo</t>
        </is>
      </c>
      <c r="B28" s="7" t="inlineStr">
        <is>
          <t>Assis Chateaubriand</t>
        </is>
      </c>
      <c r="C28" s="7" t="n">
        <v>1</v>
      </c>
      <c r="D28" s="29">
        <f t="array" ref="D28">IF(
    VLOOKUP(
        $A28,
        _xlfn._xlws.FILTER(
            INDIRECT("'"&amp;D$1&amp;"'!A2:E1000"), (INDIRECT("'"&amp;D$1&amp;"'!B2:B1000")=$B28) * (INDIRECT("'"&amp;D$1&amp;"'!C2:C1000")=$C28)
        ),
        5,
        FALSE
    )=0,
    "",
    VLOOKUP(
        $A28,
        _xlfn._xlws.FILTER(
            INDIRECT("'"&amp;D$1&amp;"'!A2:E1000"), (INDIRECT("'"&amp;D$1&amp;"'!B2:B1000")=$B28) * (INDIRECT("'"&amp;D$1&amp;"'!C2:C1000")=$C28)
        ),
        5,
        FALSE
    )
)</f>
        <v/>
      </c>
      <c r="E28" s="29">
        <f t="array" ref="E28">IF(
    VLOOKUP(
        $A28,
        _xlfn._xlws.FILTER(
            INDIRECT("'"&amp;E$1&amp;"'!A2:E1000"), (INDIRECT("'"&amp;E$1&amp;"'!B2:B1000")=$B28) * (INDIRECT("'"&amp;E$1&amp;"'!C2:C1000")=$C28)
        ),
        5,
        FALSE
    )=0,
    "",
    VLOOKUP(
        $A28,
        _xlfn._xlws.FILTER(
            INDIRECT("'"&amp;E$1&amp;"'!A2:E1000"), (INDIRECT("'"&amp;E$1&amp;"'!B2:B1000")=$B28) * (INDIRECT("'"&amp;E$1&amp;"'!C2:C1000")=$C28)
        ),
        5,
        FALSE
    )
)</f>
        <v/>
      </c>
      <c r="F28" s="29">
        <f t="array" ref="F28">IF(
    VLOOKUP(
        $A28,
        _xlfn._xlws.FILTER(
            INDIRECT("'"&amp;F$1&amp;"'!A2:E1000"), (INDIRECT("'"&amp;F$1&amp;"'!B2:B1000")=$B28) * (INDIRECT("'"&amp;F$1&amp;"'!C2:C1000")=$C28)
        ),
        5,
        FALSE
    )=0,
    "",
    VLOOKUP(
        $A28,
        _xlfn._xlws.FILTER(
            INDIRECT("'"&amp;F$1&amp;"'!A2:E1000"), (INDIRECT("'"&amp;F$1&amp;"'!B2:B1000")=$B28) * (INDIRECT("'"&amp;F$1&amp;"'!C2:C1000")=$C28)
        ),
        5,
        FALSE
    )
)</f>
        <v/>
      </c>
    </row>
    <row r="29">
      <c r="A29" s="33" t="inlineStr">
        <is>
          <t>Gustavo</t>
        </is>
      </c>
      <c r="B29" s="7" t="inlineStr">
        <is>
          <t>Brasilândia do Sul</t>
        </is>
      </c>
      <c r="C29" s="7" t="n">
        <v>1</v>
      </c>
      <c r="D29" s="29">
        <f t="array" ref="D29">IF(
    VLOOKUP(
        $A29,
        _xlfn._xlws.FILTER(
            INDIRECT("'"&amp;D$1&amp;"'!A2:E1000"), (INDIRECT("'"&amp;D$1&amp;"'!B2:B1000")=$B29) * (INDIRECT("'"&amp;D$1&amp;"'!C2:C1000")=$C29)
        ),
        5,
        FALSE
    )=0,
    "",
    VLOOKUP(
        $A29,
        _xlfn._xlws.FILTER(
            INDIRECT("'"&amp;D$1&amp;"'!A2:E1000"), (INDIRECT("'"&amp;D$1&amp;"'!B2:B1000")=$B29) * (INDIRECT("'"&amp;D$1&amp;"'!C2:C1000")=$C29)
        ),
        5,
        FALSE
    )
)</f>
        <v/>
      </c>
      <c r="E29" s="29">
        <f t="array" ref="E29">IF(
    VLOOKUP(
        $A29,
        _xlfn._xlws.FILTER(
            INDIRECT("'"&amp;E$1&amp;"'!A2:E1000"), (INDIRECT("'"&amp;E$1&amp;"'!B2:B1000")=$B29) * (INDIRECT("'"&amp;E$1&amp;"'!C2:C1000")=$C29)
        ),
        5,
        FALSE
    )=0,
    "",
    VLOOKUP(
        $A29,
        _xlfn._xlws.FILTER(
            INDIRECT("'"&amp;E$1&amp;"'!A2:E1000"), (INDIRECT("'"&amp;E$1&amp;"'!B2:B1000")=$B29) * (INDIRECT("'"&amp;E$1&amp;"'!C2:C1000")=$C29)
        ),
        5,
        FALSE
    )
)</f>
        <v/>
      </c>
      <c r="F29" s="29">
        <f t="array" ref="F29">IF(
    VLOOKUP(
        $A29,
        _xlfn._xlws.FILTER(
            INDIRECT("'"&amp;F$1&amp;"'!A2:E1000"), (INDIRECT("'"&amp;F$1&amp;"'!B2:B1000")=$B29) * (INDIRECT("'"&amp;F$1&amp;"'!C2:C1000")=$C29)
        ),
        5,
        FALSE
    )=0,
    "",
    VLOOKUP(
        $A29,
        _xlfn._xlws.FILTER(
            INDIRECT("'"&amp;F$1&amp;"'!A2:E1000"), (INDIRECT("'"&amp;F$1&amp;"'!B2:B1000")=$B29) * (INDIRECT("'"&amp;F$1&amp;"'!C2:C1000")=$C29)
        ),
        5,
        FALSE
    )
)</f>
        <v/>
      </c>
    </row>
    <row r="30">
      <c r="A30" s="33" t="inlineStr">
        <is>
          <t>Gustavo</t>
        </is>
      </c>
      <c r="B30" s="7" t="inlineStr">
        <is>
          <t>Cafelândia</t>
        </is>
      </c>
      <c r="C30" s="7" t="n">
        <v>1</v>
      </c>
      <c r="D30" s="29">
        <f t="array" ref="D30">IF(
    VLOOKUP(
        $A30,
        _xlfn._xlws.FILTER(
            INDIRECT("'"&amp;D$1&amp;"'!A2:E1000"), (INDIRECT("'"&amp;D$1&amp;"'!B2:B1000")=$B30) * (INDIRECT("'"&amp;D$1&amp;"'!C2:C1000")=$C30)
        ),
        5,
        FALSE
    )=0,
    "",
    VLOOKUP(
        $A30,
        _xlfn._xlws.FILTER(
            INDIRECT("'"&amp;D$1&amp;"'!A2:E1000"), (INDIRECT("'"&amp;D$1&amp;"'!B2:B1000")=$B30) * (INDIRECT("'"&amp;D$1&amp;"'!C2:C1000")=$C30)
        ),
        5,
        FALSE
    )
)</f>
        <v/>
      </c>
      <c r="E30" s="29">
        <f t="array" ref="E30">IF(
    VLOOKUP(
        $A30,
        _xlfn._xlws.FILTER(
            INDIRECT("'"&amp;E$1&amp;"'!A2:E1000"), (INDIRECT("'"&amp;E$1&amp;"'!B2:B1000")=$B30) * (INDIRECT("'"&amp;E$1&amp;"'!C2:C1000")=$C30)
        ),
        5,
        FALSE
    )=0,
    "",
    VLOOKUP(
        $A30,
        _xlfn._xlws.FILTER(
            INDIRECT("'"&amp;E$1&amp;"'!A2:E1000"), (INDIRECT("'"&amp;E$1&amp;"'!B2:B1000")=$B30) * (INDIRECT("'"&amp;E$1&amp;"'!C2:C1000")=$C30)
        ),
        5,
        FALSE
    )
)</f>
        <v/>
      </c>
      <c r="F30" s="29">
        <f t="array" ref="F30">IF(
    VLOOKUP(
        $A30,
        _xlfn._xlws.FILTER(
            INDIRECT("'"&amp;F$1&amp;"'!A2:E1000"), (INDIRECT("'"&amp;F$1&amp;"'!B2:B1000")=$B30) * (INDIRECT("'"&amp;F$1&amp;"'!C2:C1000")=$C30)
        ),
        5,
        FALSE
    )=0,
    "",
    VLOOKUP(
        $A30,
        _xlfn._xlws.FILTER(
            INDIRECT("'"&amp;F$1&amp;"'!A2:E1000"), (INDIRECT("'"&amp;F$1&amp;"'!B2:B1000")=$B30) * (INDIRECT("'"&amp;F$1&amp;"'!C2:C1000")=$C30)
        ),
        5,
        FALSE
    )
)</f>
        <v/>
      </c>
    </row>
    <row r="31">
      <c r="A31" s="33" t="inlineStr">
        <is>
          <t>Gustavo</t>
        </is>
      </c>
      <c r="B31" s="7" t="inlineStr">
        <is>
          <t>Formosa do Oeste</t>
        </is>
      </c>
      <c r="C31" s="7" t="n">
        <v>1</v>
      </c>
      <c r="D31" s="29">
        <f t="array" ref="D31">IF(
    VLOOKUP(
        $A31,
        _xlfn._xlws.FILTER(
            INDIRECT("'"&amp;D$1&amp;"'!A2:E1000"), (INDIRECT("'"&amp;D$1&amp;"'!B2:B1000")=$B31) * (INDIRECT("'"&amp;D$1&amp;"'!C2:C1000")=$C31)
        ),
        5,
        FALSE
    )=0,
    "",
    VLOOKUP(
        $A31,
        _xlfn._xlws.FILTER(
            INDIRECT("'"&amp;D$1&amp;"'!A2:E1000"), (INDIRECT("'"&amp;D$1&amp;"'!B2:B1000")=$B31) * (INDIRECT("'"&amp;D$1&amp;"'!C2:C1000")=$C31)
        ),
        5,
        FALSE
    )
)</f>
        <v/>
      </c>
      <c r="E31" s="29">
        <f t="array" ref="E31">IF(
    VLOOKUP(
        $A31,
        _xlfn._xlws.FILTER(
            INDIRECT("'"&amp;E$1&amp;"'!A2:E1000"), (INDIRECT("'"&amp;E$1&amp;"'!B2:B1000")=$B31) * (INDIRECT("'"&amp;E$1&amp;"'!C2:C1000")=$C31)
        ),
        5,
        FALSE
    )=0,
    "",
    VLOOKUP(
        $A31,
        _xlfn._xlws.FILTER(
            INDIRECT("'"&amp;E$1&amp;"'!A2:E1000"), (INDIRECT("'"&amp;E$1&amp;"'!B2:B1000")=$B31) * (INDIRECT("'"&amp;E$1&amp;"'!C2:C1000")=$C31)
        ),
        5,
        FALSE
    )
)</f>
        <v/>
      </c>
      <c r="F31" s="29">
        <f t="array" ref="F31">IF(
    VLOOKUP(
        $A31,
        _xlfn._xlws.FILTER(
            INDIRECT("'"&amp;F$1&amp;"'!A2:E1000"), (INDIRECT("'"&amp;F$1&amp;"'!B2:B1000")=$B31) * (INDIRECT("'"&amp;F$1&amp;"'!C2:C1000")=$C31)
        ),
        5,
        FALSE
    )=0,
    "",
    VLOOKUP(
        $A31,
        _xlfn._xlws.FILTER(
            INDIRECT("'"&amp;F$1&amp;"'!A2:E1000"), (INDIRECT("'"&amp;F$1&amp;"'!B2:B1000")=$B31) * (INDIRECT("'"&amp;F$1&amp;"'!C2:C1000")=$C31)
        ),
        5,
        FALSE
    )
)</f>
        <v/>
      </c>
    </row>
    <row r="32">
      <c r="A32" s="33" t="inlineStr">
        <is>
          <t>Gustavo</t>
        </is>
      </c>
      <c r="B32" s="7" t="inlineStr">
        <is>
          <t>Iracema do Oeste</t>
        </is>
      </c>
      <c r="C32" s="7" t="n">
        <v>1</v>
      </c>
      <c r="D32" s="29">
        <f t="array" ref="D32">IF(
    VLOOKUP(
        $A32,
        _xlfn._xlws.FILTER(
            INDIRECT("'"&amp;D$1&amp;"'!A2:E1000"), (INDIRECT("'"&amp;D$1&amp;"'!B2:B1000")=$B32) * (INDIRECT("'"&amp;D$1&amp;"'!C2:C1000")=$C32)
        ),
        5,
        FALSE
    )=0,
    "",
    VLOOKUP(
        $A32,
        _xlfn._xlws.FILTER(
            INDIRECT("'"&amp;D$1&amp;"'!A2:E1000"), (INDIRECT("'"&amp;D$1&amp;"'!B2:B1000")=$B32) * (INDIRECT("'"&amp;D$1&amp;"'!C2:C1000")=$C32)
        ),
        5,
        FALSE
    )
)</f>
        <v/>
      </c>
      <c r="E32" s="29">
        <f t="array" ref="E32">IF(
    VLOOKUP(
        $A32,
        _xlfn._xlws.FILTER(
            INDIRECT("'"&amp;E$1&amp;"'!A2:E1000"), (INDIRECT("'"&amp;E$1&amp;"'!B2:B1000")=$B32) * (INDIRECT("'"&amp;E$1&amp;"'!C2:C1000")=$C32)
        ),
        5,
        FALSE
    )=0,
    "",
    VLOOKUP(
        $A32,
        _xlfn._xlws.FILTER(
            INDIRECT("'"&amp;E$1&amp;"'!A2:E1000"), (INDIRECT("'"&amp;E$1&amp;"'!B2:B1000")=$B32) * (INDIRECT("'"&amp;E$1&amp;"'!C2:C1000")=$C32)
        ),
        5,
        FALSE
    )
)</f>
        <v/>
      </c>
      <c r="F32" s="29">
        <f t="array" ref="F32">IF(
    VLOOKUP(
        $A32,
        _xlfn._xlws.FILTER(
            INDIRECT("'"&amp;F$1&amp;"'!A2:E1000"), (INDIRECT("'"&amp;F$1&amp;"'!B2:B1000")=$B32) * (INDIRECT("'"&amp;F$1&amp;"'!C2:C1000")=$C32)
        ),
        5,
        FALSE
    )=0,
    "",
    VLOOKUP(
        $A32,
        _xlfn._xlws.FILTER(
            INDIRECT("'"&amp;F$1&amp;"'!A2:E1000"), (INDIRECT("'"&amp;F$1&amp;"'!B2:B1000")=$B32) * (INDIRECT("'"&amp;F$1&amp;"'!C2:C1000")=$C32)
        ),
        5,
        FALSE
    )
)</f>
        <v/>
      </c>
    </row>
    <row r="33">
      <c r="A33" s="33" t="inlineStr">
        <is>
          <t>Gustavo</t>
        </is>
      </c>
      <c r="B33" s="7" t="inlineStr">
        <is>
          <t>Jesuítas</t>
        </is>
      </c>
      <c r="C33" s="7" t="n">
        <v>1</v>
      </c>
      <c r="D33" s="29">
        <f t="array" ref="D33">IF(
    VLOOKUP(
        $A33,
        _xlfn._xlws.FILTER(
            INDIRECT("'"&amp;D$1&amp;"'!A2:E1000"), (INDIRECT("'"&amp;D$1&amp;"'!B2:B1000")=$B33) * (INDIRECT("'"&amp;D$1&amp;"'!C2:C1000")=$C33)
        ),
        5,
        FALSE
    )=0,
    "",
    VLOOKUP(
        $A33,
        _xlfn._xlws.FILTER(
            INDIRECT("'"&amp;D$1&amp;"'!A2:E1000"), (INDIRECT("'"&amp;D$1&amp;"'!B2:B1000")=$B33) * (INDIRECT("'"&amp;D$1&amp;"'!C2:C1000")=$C33)
        ),
        5,
        FALSE
    )
)</f>
        <v/>
      </c>
      <c r="E33" s="29">
        <f t="array" ref="E33">IF(
    VLOOKUP(
        $A33,
        _xlfn._xlws.FILTER(
            INDIRECT("'"&amp;E$1&amp;"'!A2:E1000"), (INDIRECT("'"&amp;E$1&amp;"'!B2:B1000")=$B33) * (INDIRECT("'"&amp;E$1&amp;"'!C2:C1000")=$C33)
        ),
        5,
        FALSE
    )=0,
    "",
    VLOOKUP(
        $A33,
        _xlfn._xlws.FILTER(
            INDIRECT("'"&amp;E$1&amp;"'!A2:E1000"), (INDIRECT("'"&amp;E$1&amp;"'!B2:B1000")=$B33) * (INDIRECT("'"&amp;E$1&amp;"'!C2:C1000")=$C33)
        ),
        5,
        FALSE
    )
)</f>
        <v/>
      </c>
      <c r="F33" s="29">
        <f t="array" ref="F33">IF(
    VLOOKUP(
        $A33,
        _xlfn._xlws.FILTER(
            INDIRECT("'"&amp;F$1&amp;"'!A2:E1000"), (INDIRECT("'"&amp;F$1&amp;"'!B2:B1000")=$B33) * (INDIRECT("'"&amp;F$1&amp;"'!C2:C1000")=$C33)
        ),
        5,
        FALSE
    )=0,
    "",
    VLOOKUP(
        $A33,
        _xlfn._xlws.FILTER(
            INDIRECT("'"&amp;F$1&amp;"'!A2:E1000"), (INDIRECT("'"&amp;F$1&amp;"'!B2:B1000")=$B33) * (INDIRECT("'"&amp;F$1&amp;"'!C2:C1000")=$C33)
        ),
        5,
        FALSE
    )
)</f>
        <v/>
      </c>
    </row>
    <row r="34">
      <c r="A34" s="33" t="inlineStr">
        <is>
          <t>Gustavo</t>
        </is>
      </c>
      <c r="B34" s="7" t="inlineStr">
        <is>
          <t>Maripa</t>
        </is>
      </c>
      <c r="C34" s="7" t="n">
        <v>1</v>
      </c>
      <c r="D34" s="29">
        <f t="array" ref="D34">IF(
    VLOOKUP(
        $A34,
        _xlfn._xlws.FILTER(
            INDIRECT("'"&amp;D$1&amp;"'!A2:E1000"), (INDIRECT("'"&amp;D$1&amp;"'!B2:B1000")=$B34) * (INDIRECT("'"&amp;D$1&amp;"'!C2:C1000")=$C34)
        ),
        5,
        FALSE
    )=0,
    "",
    VLOOKUP(
        $A34,
        _xlfn._xlws.FILTER(
            INDIRECT("'"&amp;D$1&amp;"'!A2:E1000"), (INDIRECT("'"&amp;D$1&amp;"'!B2:B1000")=$B34) * (INDIRECT("'"&amp;D$1&amp;"'!C2:C1000")=$C34)
        ),
        5,
        FALSE
    )
)</f>
        <v/>
      </c>
      <c r="E34" s="29">
        <f t="array" ref="E34">IF(
    VLOOKUP(
        $A34,
        _xlfn._xlws.FILTER(
            INDIRECT("'"&amp;E$1&amp;"'!A2:E1000"), (INDIRECT("'"&amp;E$1&amp;"'!B2:B1000")=$B34) * (INDIRECT("'"&amp;E$1&amp;"'!C2:C1000")=$C34)
        ),
        5,
        FALSE
    )=0,
    "",
    VLOOKUP(
        $A34,
        _xlfn._xlws.FILTER(
            INDIRECT("'"&amp;E$1&amp;"'!A2:E1000"), (INDIRECT("'"&amp;E$1&amp;"'!B2:B1000")=$B34) * (INDIRECT("'"&amp;E$1&amp;"'!C2:C1000")=$C34)
        ),
        5,
        FALSE
    )
)</f>
        <v/>
      </c>
      <c r="F34" s="29">
        <f t="array" ref="F34">IF(
    VLOOKUP(
        $A34,
        _xlfn._xlws.FILTER(
            INDIRECT("'"&amp;F$1&amp;"'!A2:E1000"), (INDIRECT("'"&amp;F$1&amp;"'!B2:B1000")=$B34) * (INDIRECT("'"&amp;F$1&amp;"'!C2:C1000")=$C34)
        ),
        5,
        FALSE
    )=0,
    "",
    VLOOKUP(
        $A34,
        _xlfn._xlws.FILTER(
            INDIRECT("'"&amp;F$1&amp;"'!A2:E1000"), (INDIRECT("'"&amp;F$1&amp;"'!B2:B1000")=$B34) * (INDIRECT("'"&amp;F$1&amp;"'!C2:C1000")=$C34)
        ),
        5,
        FALSE
    )
)</f>
        <v/>
      </c>
    </row>
    <row r="35">
      <c r="A35" s="33" t="inlineStr">
        <is>
          <t>Gustavo</t>
        </is>
      </c>
      <c r="B35" s="7" t="inlineStr">
        <is>
          <t>Nova Aurora</t>
        </is>
      </c>
      <c r="C35" s="7" t="n">
        <v>1</v>
      </c>
      <c r="D35" s="29">
        <f t="array" ref="D35">IF(
    VLOOKUP(
        $A35,
        _xlfn._xlws.FILTER(
            INDIRECT("'"&amp;D$1&amp;"'!A2:E1000"), (INDIRECT("'"&amp;D$1&amp;"'!B2:B1000")=$B35) * (INDIRECT("'"&amp;D$1&amp;"'!C2:C1000")=$C35)
        ),
        5,
        FALSE
    )=0,
    "",
    VLOOKUP(
        $A35,
        _xlfn._xlws.FILTER(
            INDIRECT("'"&amp;D$1&amp;"'!A2:E1000"), (INDIRECT("'"&amp;D$1&amp;"'!B2:B1000")=$B35) * (INDIRECT("'"&amp;D$1&amp;"'!C2:C1000")=$C35)
        ),
        5,
        FALSE
    )
)</f>
        <v/>
      </c>
      <c r="E35" s="29">
        <f t="array" ref="E35">IF(
    VLOOKUP(
        $A35,
        _xlfn._xlws.FILTER(
            INDIRECT("'"&amp;E$1&amp;"'!A2:E1000"), (INDIRECT("'"&amp;E$1&amp;"'!B2:B1000")=$B35) * (INDIRECT("'"&amp;E$1&amp;"'!C2:C1000")=$C35)
        ),
        5,
        FALSE
    )=0,
    "",
    VLOOKUP(
        $A35,
        _xlfn._xlws.FILTER(
            INDIRECT("'"&amp;E$1&amp;"'!A2:E1000"), (INDIRECT("'"&amp;E$1&amp;"'!B2:B1000")=$B35) * (INDIRECT("'"&amp;E$1&amp;"'!C2:C1000")=$C35)
        ),
        5,
        FALSE
    )
)</f>
        <v/>
      </c>
      <c r="F35" s="29">
        <f t="array" ref="F35">IF(
    VLOOKUP(
        $A35,
        _xlfn._xlws.FILTER(
            INDIRECT("'"&amp;F$1&amp;"'!A2:E1000"), (INDIRECT("'"&amp;F$1&amp;"'!B2:B1000")=$B35) * (INDIRECT("'"&amp;F$1&amp;"'!C2:C1000")=$C35)
        ),
        5,
        FALSE
    )=0,
    "",
    VLOOKUP(
        $A35,
        _xlfn._xlws.FILTER(
            INDIRECT("'"&amp;F$1&amp;"'!A2:E1000"), (INDIRECT("'"&amp;F$1&amp;"'!B2:B1000")=$B35) * (INDIRECT("'"&amp;F$1&amp;"'!C2:C1000")=$C35)
        ),
        5,
        FALSE
    )
)</f>
        <v/>
      </c>
    </row>
    <row r="36">
      <c r="A36" s="33" t="inlineStr">
        <is>
          <t>Gustavo</t>
        </is>
      </c>
      <c r="B36" s="7" t="inlineStr">
        <is>
          <t>Palotina</t>
        </is>
      </c>
      <c r="C36" s="7" t="n">
        <v>1</v>
      </c>
      <c r="D36" s="29">
        <f t="array" ref="D36">IF(
    VLOOKUP(
        $A36,
        _xlfn._xlws.FILTER(
            INDIRECT("'"&amp;D$1&amp;"'!A2:E1000"), (INDIRECT("'"&amp;D$1&amp;"'!B2:B1000")=$B36) * (INDIRECT("'"&amp;D$1&amp;"'!C2:C1000")=$C36)
        ),
        5,
        FALSE
    )=0,
    "",
    VLOOKUP(
        $A36,
        _xlfn._xlws.FILTER(
            INDIRECT("'"&amp;D$1&amp;"'!A2:E1000"), (INDIRECT("'"&amp;D$1&amp;"'!B2:B1000")=$B36) * (INDIRECT("'"&amp;D$1&amp;"'!C2:C1000")=$C36)
        ),
        5,
        FALSE
    )
)</f>
        <v/>
      </c>
      <c r="E36" s="29">
        <f t="array" ref="E36">IF(
    VLOOKUP(
        $A36,
        _xlfn._xlws.FILTER(
            INDIRECT("'"&amp;E$1&amp;"'!A2:E1000"), (INDIRECT("'"&amp;E$1&amp;"'!B2:B1000")=$B36) * (INDIRECT("'"&amp;E$1&amp;"'!C2:C1000")=$C36)
        ),
        5,
        FALSE
    )=0,
    "",
    VLOOKUP(
        $A36,
        _xlfn._xlws.FILTER(
            INDIRECT("'"&amp;E$1&amp;"'!A2:E1000"), (INDIRECT("'"&amp;E$1&amp;"'!B2:B1000")=$B36) * (INDIRECT("'"&amp;E$1&amp;"'!C2:C1000")=$C36)
        ),
        5,
        FALSE
    )
)</f>
        <v/>
      </c>
      <c r="F36" s="29">
        <f t="array" ref="F36">IF(
    VLOOKUP(
        $A36,
        _xlfn._xlws.FILTER(
            INDIRECT("'"&amp;F$1&amp;"'!A2:E1000"), (INDIRECT("'"&amp;F$1&amp;"'!B2:B1000")=$B36) * (INDIRECT("'"&amp;F$1&amp;"'!C2:C1000")=$C36)
        ),
        5,
        FALSE
    )=0,
    "",
    VLOOKUP(
        $A36,
        _xlfn._xlws.FILTER(
            INDIRECT("'"&amp;F$1&amp;"'!A2:E1000"), (INDIRECT("'"&amp;F$1&amp;"'!B2:B1000")=$B36) * (INDIRECT("'"&amp;F$1&amp;"'!C2:C1000")=$C36)
        ),
        5,
        FALSE
    )
)</f>
        <v/>
      </c>
    </row>
    <row r="37">
      <c r="A37" s="33" t="inlineStr">
        <is>
          <t>Gustavo</t>
        </is>
      </c>
      <c r="B37" s="7" t="inlineStr">
        <is>
          <t>Tupassi</t>
        </is>
      </c>
      <c r="C37" s="7" t="n">
        <v>1</v>
      </c>
      <c r="D37" s="29">
        <f t="array" ref="D37">IF(
    VLOOKUP(
        $A37,
        _xlfn._xlws.FILTER(
            INDIRECT("'"&amp;D$1&amp;"'!A2:E1000"), (INDIRECT("'"&amp;D$1&amp;"'!B2:B1000")=$B37) * (INDIRECT("'"&amp;D$1&amp;"'!C2:C1000")=$C37)
        ),
        5,
        FALSE
    )=0,
    "",
    VLOOKUP(
        $A37,
        _xlfn._xlws.FILTER(
            INDIRECT("'"&amp;D$1&amp;"'!A2:E1000"), (INDIRECT("'"&amp;D$1&amp;"'!B2:B1000")=$B37) * (INDIRECT("'"&amp;D$1&amp;"'!C2:C1000")=$C37)
        ),
        5,
        FALSE
    )
)</f>
        <v/>
      </c>
      <c r="E37" s="29">
        <f t="array" ref="E37">IF(
    VLOOKUP(
        $A37,
        _xlfn._xlws.FILTER(
            INDIRECT("'"&amp;E$1&amp;"'!A2:E1000"), (INDIRECT("'"&amp;E$1&amp;"'!B2:B1000")=$B37) * (INDIRECT("'"&amp;E$1&amp;"'!C2:C1000")=$C37)
        ),
        5,
        FALSE
    )=0,
    "",
    VLOOKUP(
        $A37,
        _xlfn._xlws.FILTER(
            INDIRECT("'"&amp;E$1&amp;"'!A2:E1000"), (INDIRECT("'"&amp;E$1&amp;"'!B2:B1000")=$B37) * (INDIRECT("'"&amp;E$1&amp;"'!C2:C1000")=$C37)
        ),
        5,
        FALSE
    )
)</f>
        <v/>
      </c>
      <c r="F37" s="29">
        <f t="array" ref="F37">IF(
    VLOOKUP(
        $A37,
        _xlfn._xlws.FILTER(
            INDIRECT("'"&amp;F$1&amp;"'!A2:E1000"), (INDIRECT("'"&amp;F$1&amp;"'!B2:B1000")=$B37) * (INDIRECT("'"&amp;F$1&amp;"'!C2:C1000")=$C37)
        ),
        5,
        FALSE
    )=0,
    "",
    VLOOKUP(
        $A37,
        _xlfn._xlws.FILTER(
            INDIRECT("'"&amp;F$1&amp;"'!A2:E1000"), (INDIRECT("'"&amp;F$1&amp;"'!B2:B1000")=$B37) * (INDIRECT("'"&amp;F$1&amp;"'!C2:C1000")=$C37)
        ),
        5,
        FALSE
    )
)</f>
        <v/>
      </c>
    </row>
    <row r="38">
      <c r="A38" s="33" t="inlineStr">
        <is>
          <t>Gustavo</t>
        </is>
      </c>
      <c r="B38" s="7" t="inlineStr">
        <is>
          <t>Ubirata</t>
        </is>
      </c>
      <c r="C38" s="7" t="n">
        <v>1</v>
      </c>
      <c r="D38" s="29">
        <f t="array" ref="D38">IF(
    VLOOKUP(
        $A38,
        _xlfn._xlws.FILTER(
            INDIRECT("'"&amp;D$1&amp;"'!A2:E1000"), (INDIRECT("'"&amp;D$1&amp;"'!B2:B1000")=$B38) * (INDIRECT("'"&amp;D$1&amp;"'!C2:C1000")=$C38)
        ),
        5,
        FALSE
    )=0,
    "",
    VLOOKUP(
        $A38,
        _xlfn._xlws.FILTER(
            INDIRECT("'"&amp;D$1&amp;"'!A2:E1000"), (INDIRECT("'"&amp;D$1&amp;"'!B2:B1000")=$B38) * (INDIRECT("'"&amp;D$1&amp;"'!C2:C1000")=$C38)
        ),
        5,
        FALSE
    )
)</f>
        <v/>
      </c>
      <c r="E38" s="29">
        <f t="array" ref="E38">IF(
    VLOOKUP(
        $A38,
        _xlfn._xlws.FILTER(
            INDIRECT("'"&amp;E$1&amp;"'!A2:E1000"), (INDIRECT("'"&amp;E$1&amp;"'!B2:B1000")=$B38) * (INDIRECT("'"&amp;E$1&amp;"'!C2:C1000")=$C38)
        ),
        5,
        FALSE
    )=0,
    "",
    VLOOKUP(
        $A38,
        _xlfn._xlws.FILTER(
            INDIRECT("'"&amp;E$1&amp;"'!A2:E1000"), (INDIRECT("'"&amp;E$1&amp;"'!B2:B1000")=$B38) * (INDIRECT("'"&amp;E$1&amp;"'!C2:C1000")=$C38)
        ),
        5,
        FALSE
    )
)</f>
        <v/>
      </c>
      <c r="F38" s="29">
        <f t="array" ref="F38">IF(
    VLOOKUP(
        $A38,
        _xlfn._xlws.FILTER(
            INDIRECT("'"&amp;F$1&amp;"'!A2:E1000"), (INDIRECT("'"&amp;F$1&amp;"'!B2:B1000")=$B38) * (INDIRECT("'"&amp;F$1&amp;"'!C2:C1000")=$C38)
        ),
        5,
        FALSE
    )=0,
    "",
    VLOOKUP(
        $A38,
        _xlfn._xlws.FILTER(
            INDIRECT("'"&amp;F$1&amp;"'!A2:E1000"), (INDIRECT("'"&amp;F$1&amp;"'!B2:B1000")=$B38) * (INDIRECT("'"&amp;F$1&amp;"'!C2:C1000")=$C38)
        ),
        5,
        FALSE
    )
)</f>
        <v/>
      </c>
    </row>
    <row r="39"/>
    <row r="40" ht="15.75" customHeight="1">
      <c r="A40" s="34" t="inlineStr">
        <is>
          <t>Regional</t>
        </is>
      </c>
      <c r="B40" s="27" t="inlineStr">
        <is>
          <t>Municípios</t>
        </is>
      </c>
      <c r="C40" s="27" t="inlineStr">
        <is>
          <t>UVR</t>
        </is>
      </c>
      <c r="D40" s="27" t="inlineStr">
        <is>
          <t>Form 1 - Município</t>
        </is>
      </c>
      <c r="E40" s="27" t="inlineStr">
        <is>
          <t>Form 2 - UVR</t>
        </is>
      </c>
      <c r="F40" s="27" t="inlineStr">
        <is>
          <t>Form 3 - Empreendimento</t>
        </is>
      </c>
    </row>
    <row r="41">
      <c r="A41" s="35" t="inlineStr">
        <is>
          <t>Larissa</t>
        </is>
      </c>
      <c r="B41" s="36" t="inlineStr">
        <is>
          <t>Foz do Iguaçu</t>
        </is>
      </c>
      <c r="C41" s="36" t="n">
        <v>1</v>
      </c>
      <c r="D41" s="29">
        <f t="array" ref="D41">IF(
    VLOOKUP(
        $A41,
        _xlfn._xlws.FILTER(
            INDIRECT("'"&amp;D$40&amp;"'!A2:E1000"), (INDIRECT("'"&amp;D$40&amp;"'!B2:B1000")=$B41) * (INDIRECT("'"&amp;D$40&amp;"'!C2:C1000")=$C41)
        ),
        5,
        FALSE
    )=0,
    "",
    VLOOKUP(
        $A41,
        _xlfn._xlws.FILTER(
            INDIRECT("'"&amp;D$40&amp;"'!A2:E1000"), (INDIRECT("'"&amp;D$40&amp;"'!B2:B1000")=$B41) * (INDIRECT("'"&amp;D$40&amp;"'!C2:C1000")=$C41)
        ),
        5,
        FALSE
    )
)</f>
        <v/>
      </c>
      <c r="E41" s="29">
        <f t="array" ref="E41">IF(
    VLOOKUP(
        $A41,
        _xlfn._xlws.FILTER(
            INDIRECT("'"&amp;E$40&amp;"'!A2:E1000"), (INDIRECT("'"&amp;E$40&amp;"'!B2:B1000")=$B41) * (INDIRECT("'"&amp;E$40&amp;"'!C2:C1000")=$C41)
        ),
        5,
        FALSE
    )=0,
    "",
    VLOOKUP(
        $A41,
        _xlfn._xlws.FILTER(
            INDIRECT("'"&amp;E$40&amp;"'!A2:E1000"), (INDIRECT("'"&amp;E$40&amp;"'!B2:B1000")=$B41) * (INDIRECT("'"&amp;E$40&amp;"'!C2:C1000")=$C41)
        ),
        5,
        FALSE
    )
)</f>
        <v/>
      </c>
      <c r="F41" s="29">
        <f t="array" ref="F41">IF(
    VLOOKUP(
        $A41,
        _xlfn._xlws.FILTER(
            INDIRECT("'"&amp;F$40&amp;"'!A2:E1000"), (INDIRECT("'"&amp;F$40&amp;"'!B2:B1000")=$B41) * (INDIRECT("'"&amp;F$40&amp;"'!C2:C1000")=$C41)
        ),
        5,
        FALSE
    )=0,
    "",
    VLOOKUP(
        $A41,
        _xlfn._xlws.FILTER(
            INDIRECT("'"&amp;F$40&amp;"'!A2:E1000"), (INDIRECT("'"&amp;F$40&amp;"'!B2:B1000")=$B41) * (INDIRECT("'"&amp;F$40&amp;"'!C2:C1000")=$C41)
        ),
        5,
        FALSE
    )
)</f>
        <v/>
      </c>
    </row>
    <row r="42">
      <c r="A42" s="35" t="inlineStr">
        <is>
          <t>Larissa</t>
        </is>
      </c>
      <c r="B42" s="36" t="inlineStr">
        <is>
          <t>Foz do Iguaçu</t>
        </is>
      </c>
      <c r="C42" s="36" t="n">
        <v>2</v>
      </c>
      <c r="D42" s="29">
        <f t="array" ref="D42">IF(
    VLOOKUP(
        $A42,
        _xlfn._xlws.FILTER(
            INDIRECT("'"&amp;D$40&amp;"'!A2:E1000"), (INDIRECT("'"&amp;D$40&amp;"'!B2:B1000")=$B42) * (INDIRECT("'"&amp;D$40&amp;"'!C2:C1000")=$C42)
        ),
        5,
        FALSE
    )=0,
    "",
    VLOOKUP(
        $A42,
        _xlfn._xlws.FILTER(
            INDIRECT("'"&amp;D$40&amp;"'!A2:E1000"), (INDIRECT("'"&amp;D$40&amp;"'!B2:B1000")=$B42) * (INDIRECT("'"&amp;D$40&amp;"'!C2:C1000")=$C42)
        ),
        5,
        FALSE
    )
)</f>
        <v/>
      </c>
      <c r="E42" s="29">
        <f t="array" ref="E42">IF(
    VLOOKUP(
        $A42,
        _xlfn._xlws.FILTER(
            INDIRECT("'"&amp;E$40&amp;"'!A2:E1000"), (INDIRECT("'"&amp;E$40&amp;"'!B2:B1000")=$B42) * (INDIRECT("'"&amp;E$40&amp;"'!C2:C1000")=$C42)
        ),
        5,
        FALSE
    )=0,
    "",
    VLOOKUP(
        $A42,
        _xlfn._xlws.FILTER(
            INDIRECT("'"&amp;E$40&amp;"'!A2:E1000"), (INDIRECT("'"&amp;E$40&amp;"'!B2:B1000")=$B42) * (INDIRECT("'"&amp;E$40&amp;"'!C2:C1000")=$C42)
        ),
        5,
        FALSE
    )
)</f>
        <v/>
      </c>
      <c r="F42" s="29">
        <f t="array" ref="F42">IF(
    VLOOKUP(
        $A42,
        _xlfn._xlws.FILTER(
            INDIRECT("'"&amp;F$40&amp;"'!A2:E1000"), (INDIRECT("'"&amp;F$40&amp;"'!B2:B1000")=$B42) * (INDIRECT("'"&amp;F$40&amp;"'!C2:C1000")=$C42)
        ),
        5,
        FALSE
    )=0,
    "",
    VLOOKUP(
        $A42,
        _xlfn._xlws.FILTER(
            INDIRECT("'"&amp;F$40&amp;"'!A2:E1000"), (INDIRECT("'"&amp;F$40&amp;"'!B2:B1000")=$B42) * (INDIRECT("'"&amp;F$40&amp;"'!C2:C1000")=$C42)
        ),
        5,
        FALSE
    )
)</f>
        <v/>
      </c>
    </row>
    <row r="43">
      <c r="A43" s="35" t="inlineStr">
        <is>
          <t>Larissa</t>
        </is>
      </c>
      <c r="B43" s="36" t="inlineStr">
        <is>
          <t>Foz do Iguaçu</t>
        </is>
      </c>
      <c r="C43" s="36" t="n">
        <v>3</v>
      </c>
      <c r="D43" s="29">
        <f t="array" ref="D43">IF(
    VLOOKUP(
        $A43,
        _xlfn._xlws.FILTER(
            INDIRECT("'"&amp;D$40&amp;"'!A2:E1000"), (INDIRECT("'"&amp;D$40&amp;"'!B2:B1000")=$B43) * (INDIRECT("'"&amp;D$40&amp;"'!C2:C1000")=$C43)
        ),
        5,
        FALSE
    )=0,
    "",
    VLOOKUP(
        $A43,
        _xlfn._xlws.FILTER(
            INDIRECT("'"&amp;D$40&amp;"'!A2:E1000"), (INDIRECT("'"&amp;D$40&amp;"'!B2:B1000")=$B43) * (INDIRECT("'"&amp;D$40&amp;"'!C2:C1000")=$C43)
        ),
        5,
        FALSE
    )
)</f>
        <v/>
      </c>
      <c r="E43" s="29">
        <f t="array" ref="E43">IF(
    VLOOKUP(
        $A43,
        _xlfn._xlws.FILTER(
            INDIRECT("'"&amp;E$40&amp;"'!A2:E1000"), (INDIRECT("'"&amp;E$40&amp;"'!B2:B1000")=$B43) * (INDIRECT("'"&amp;E$40&amp;"'!C2:C1000")=$C43)
        ),
        5,
        FALSE
    )=0,
    "",
    VLOOKUP(
        $A43,
        _xlfn._xlws.FILTER(
            INDIRECT("'"&amp;E$40&amp;"'!A2:E1000"), (INDIRECT("'"&amp;E$40&amp;"'!B2:B1000")=$B43) * (INDIRECT("'"&amp;E$40&amp;"'!C2:C1000")=$C43)
        ),
        5,
        FALSE
    )
)</f>
        <v/>
      </c>
      <c r="F43" s="29">
        <f t="array" ref="F43">IF(
    VLOOKUP(
        $A43,
        _xlfn._xlws.FILTER(
            INDIRECT("'"&amp;F$40&amp;"'!A2:E1000"), (INDIRECT("'"&amp;F$40&amp;"'!B2:B1000")=$B43) * (INDIRECT("'"&amp;F$40&amp;"'!C2:C1000")=$C43)
        ),
        5,
        FALSE
    )=0,
    "",
    VLOOKUP(
        $A43,
        _xlfn._xlws.FILTER(
            INDIRECT("'"&amp;F$40&amp;"'!A2:E1000"), (INDIRECT("'"&amp;F$40&amp;"'!B2:B1000")=$B43) * (INDIRECT("'"&amp;F$40&amp;"'!C2:C1000")=$C43)
        ),
        5,
        FALSE
    )
)</f>
        <v/>
      </c>
    </row>
    <row r="44">
      <c r="A44" s="35" t="inlineStr">
        <is>
          <t>Larissa</t>
        </is>
      </c>
      <c r="B44" s="36" t="inlineStr">
        <is>
          <t>Foz do Iguaçu</t>
        </is>
      </c>
      <c r="C44" s="36" t="n">
        <v>4</v>
      </c>
      <c r="D44" s="29">
        <f t="array" ref="D44">IF(
    VLOOKUP(
        $A44,
        _xlfn._xlws.FILTER(
            INDIRECT("'"&amp;D$40&amp;"'!A2:E1000"), (INDIRECT("'"&amp;D$40&amp;"'!B2:B1000")=$B44) * (INDIRECT("'"&amp;D$40&amp;"'!C2:C1000")=$C44)
        ),
        5,
        FALSE
    )=0,
    "",
    VLOOKUP(
        $A44,
        _xlfn._xlws.FILTER(
            INDIRECT("'"&amp;D$40&amp;"'!A2:E1000"), (INDIRECT("'"&amp;D$40&amp;"'!B2:B1000")=$B44) * (INDIRECT("'"&amp;D$40&amp;"'!C2:C1000")=$C44)
        ),
        5,
        FALSE
    )
)</f>
        <v/>
      </c>
      <c r="E44" s="29">
        <f t="array" ref="E44">IF(
    VLOOKUP(
        $A44,
        _xlfn._xlws.FILTER(
            INDIRECT("'"&amp;E$40&amp;"'!A2:E1000"), (INDIRECT("'"&amp;E$40&amp;"'!B2:B1000")=$B44) * (INDIRECT("'"&amp;E$40&amp;"'!C2:C1000")=$C44)
        ),
        5,
        FALSE
    )=0,
    "",
    VLOOKUP(
        $A44,
        _xlfn._xlws.FILTER(
            INDIRECT("'"&amp;E$40&amp;"'!A2:E1000"), (INDIRECT("'"&amp;E$40&amp;"'!B2:B1000")=$B44) * (INDIRECT("'"&amp;E$40&amp;"'!C2:C1000")=$C44)
        ),
        5,
        FALSE
    )
)</f>
        <v/>
      </c>
      <c r="F44" s="29">
        <f t="array" ref="F44">IF(
    VLOOKUP(
        $A44,
        _xlfn._xlws.FILTER(
            INDIRECT("'"&amp;F$40&amp;"'!A2:E1000"), (INDIRECT("'"&amp;F$40&amp;"'!B2:B1000")=$B44) * (INDIRECT("'"&amp;F$40&amp;"'!C2:C1000")=$C44)
        ),
        5,
        FALSE
    )=0,
    "",
    VLOOKUP(
        $A44,
        _xlfn._xlws.FILTER(
            INDIRECT("'"&amp;F$40&amp;"'!A2:E1000"), (INDIRECT("'"&amp;F$40&amp;"'!B2:B1000")=$B44) * (INDIRECT("'"&amp;F$40&amp;"'!C2:C1000")=$C44)
        ),
        5,
        FALSE
    )
)</f>
        <v/>
      </c>
    </row>
    <row r="45">
      <c r="A45" s="35" t="inlineStr">
        <is>
          <t>Larissa</t>
        </is>
      </c>
      <c r="B45" s="36" t="inlineStr">
        <is>
          <t>Foz do Iguaçu</t>
        </is>
      </c>
      <c r="C45" s="36" t="n">
        <v>5</v>
      </c>
      <c r="D45" s="29">
        <f t="array" ref="D45">IF(
    VLOOKUP(
        $A45,
        _xlfn._xlws.FILTER(
            INDIRECT("'"&amp;D$40&amp;"'!A2:E1000"), (INDIRECT("'"&amp;D$40&amp;"'!B2:B1000")=$B45) * (INDIRECT("'"&amp;D$40&amp;"'!C2:C1000")=$C45)
        ),
        5,
        FALSE
    )=0,
    "",
    VLOOKUP(
        $A45,
        _xlfn._xlws.FILTER(
            INDIRECT("'"&amp;D$40&amp;"'!A2:E1000"), (INDIRECT("'"&amp;D$40&amp;"'!B2:B1000")=$B45) * (INDIRECT("'"&amp;D$40&amp;"'!C2:C1000")=$C45)
        ),
        5,
        FALSE
    )
)</f>
        <v/>
      </c>
      <c r="E45" s="29">
        <f t="array" ref="E45">IF(
    VLOOKUP(
        $A45,
        _xlfn._xlws.FILTER(
            INDIRECT("'"&amp;E$40&amp;"'!A2:E1000"), (INDIRECT("'"&amp;E$40&amp;"'!B2:B1000")=$B45) * (INDIRECT("'"&amp;E$40&amp;"'!C2:C1000")=$C45)
        ),
        5,
        FALSE
    )=0,
    "",
    VLOOKUP(
        $A45,
        _xlfn._xlws.FILTER(
            INDIRECT("'"&amp;E$40&amp;"'!A2:E1000"), (INDIRECT("'"&amp;E$40&amp;"'!B2:B1000")=$B45) * (INDIRECT("'"&amp;E$40&amp;"'!C2:C1000")=$C45)
        ),
        5,
        FALSE
    )
)</f>
        <v/>
      </c>
      <c r="F45" s="29">
        <f t="array" ref="F45">IF(
    VLOOKUP(
        $A45,
        _xlfn._xlws.FILTER(
            INDIRECT("'"&amp;F$40&amp;"'!A2:E1000"), (INDIRECT("'"&amp;F$40&amp;"'!B2:B1000")=$B45) * (INDIRECT("'"&amp;F$40&amp;"'!C2:C1000")=$C45)
        ),
        5,
        FALSE
    )=0,
    "",
    VLOOKUP(
        $A45,
        _xlfn._xlws.FILTER(
            INDIRECT("'"&amp;F$40&amp;"'!A2:E1000"), (INDIRECT("'"&amp;F$40&amp;"'!B2:B1000")=$B45) * (INDIRECT("'"&amp;F$40&amp;"'!C2:C1000")=$C45)
        ),
        5,
        FALSE
    )
)</f>
        <v/>
      </c>
    </row>
    <row r="46">
      <c r="A46" s="35" t="inlineStr">
        <is>
          <t>Larissa</t>
        </is>
      </c>
      <c r="B46" s="36" t="inlineStr">
        <is>
          <t>Foz do Iguaçu</t>
        </is>
      </c>
      <c r="C46" s="36" t="n">
        <v>6</v>
      </c>
      <c r="D46" s="29">
        <f t="array" ref="D46">IF(
    VLOOKUP(
        $A46,
        _xlfn._xlws.FILTER(
            INDIRECT("'"&amp;D$40&amp;"'!A2:E1000"), (INDIRECT("'"&amp;D$40&amp;"'!B2:B1000")=$B46) * (INDIRECT("'"&amp;D$40&amp;"'!C2:C1000")=$C46)
        ),
        5,
        FALSE
    )=0,
    "",
    VLOOKUP(
        $A46,
        _xlfn._xlws.FILTER(
            INDIRECT("'"&amp;D$40&amp;"'!A2:E1000"), (INDIRECT("'"&amp;D$40&amp;"'!B2:B1000")=$B46) * (INDIRECT("'"&amp;D$40&amp;"'!C2:C1000")=$C46)
        ),
        5,
        FALSE
    )
)</f>
        <v/>
      </c>
      <c r="E46" s="29">
        <f t="array" ref="E46">IF(
    VLOOKUP(
        $A46,
        _xlfn._xlws.FILTER(
            INDIRECT("'"&amp;E$40&amp;"'!A2:E1000"), (INDIRECT("'"&amp;E$40&amp;"'!B2:B1000")=$B46) * (INDIRECT("'"&amp;E$40&amp;"'!C2:C1000")=$C46)
        ),
        5,
        FALSE
    )=0,
    "",
    VLOOKUP(
        $A46,
        _xlfn._xlws.FILTER(
            INDIRECT("'"&amp;E$40&amp;"'!A2:E1000"), (INDIRECT("'"&amp;E$40&amp;"'!B2:B1000")=$B46) * (INDIRECT("'"&amp;E$40&amp;"'!C2:C1000")=$C46)
        ),
        5,
        FALSE
    )
)</f>
        <v/>
      </c>
      <c r="F46" s="29">
        <f t="array" ref="F46">IF(
    VLOOKUP(
        $A46,
        _xlfn._xlws.FILTER(
            INDIRECT("'"&amp;F$40&amp;"'!A2:E1000"), (INDIRECT("'"&amp;F$40&amp;"'!B2:B1000")=$B46) * (INDIRECT("'"&amp;F$40&amp;"'!C2:C1000")=$C46)
        ),
        5,
        FALSE
    )=0,
    "",
    VLOOKUP(
        $A46,
        _xlfn._xlws.FILTER(
            INDIRECT("'"&amp;F$40&amp;"'!A2:E1000"), (INDIRECT("'"&amp;F$40&amp;"'!B2:B1000")=$B46) * (INDIRECT("'"&amp;F$40&amp;"'!C2:C1000")=$C46)
        ),
        5,
        FALSE
    )
)</f>
        <v/>
      </c>
    </row>
    <row r="47">
      <c r="A47" s="35" t="inlineStr">
        <is>
          <t>Larissa</t>
        </is>
      </c>
      <c r="B47" s="36" t="inlineStr">
        <is>
          <t>Foz do Iguaçu</t>
        </is>
      </c>
      <c r="C47" s="36" t="n">
        <v>7</v>
      </c>
      <c r="D47" s="29">
        <f t="array" ref="D47">IF(
    VLOOKUP(
        $A47,
        _xlfn._xlws.FILTER(
            INDIRECT("'"&amp;D$40&amp;"'!A2:E1000"), (INDIRECT("'"&amp;D$40&amp;"'!B2:B1000")=$B47) * (INDIRECT("'"&amp;D$40&amp;"'!C2:C1000")=$C47)
        ),
        5,
        FALSE
    )=0,
    "",
    VLOOKUP(
        $A47,
        _xlfn._xlws.FILTER(
            INDIRECT("'"&amp;D$40&amp;"'!A2:E1000"), (INDIRECT("'"&amp;D$40&amp;"'!B2:B1000")=$B47) * (INDIRECT("'"&amp;D$40&amp;"'!C2:C1000")=$C47)
        ),
        5,
        FALSE
    )
)</f>
        <v/>
      </c>
      <c r="E47" s="29">
        <f t="array" ref="E47">IF(
    VLOOKUP(
        $A47,
        _xlfn._xlws.FILTER(
            INDIRECT("'"&amp;E$40&amp;"'!A2:E1000"), (INDIRECT("'"&amp;E$40&amp;"'!B2:B1000")=$B47) * (INDIRECT("'"&amp;E$40&amp;"'!C2:C1000")=$C47)
        ),
        5,
        FALSE
    )=0,
    "",
    VLOOKUP(
        $A47,
        _xlfn._xlws.FILTER(
            INDIRECT("'"&amp;E$40&amp;"'!A2:E1000"), (INDIRECT("'"&amp;E$40&amp;"'!B2:B1000")=$B47) * (INDIRECT("'"&amp;E$40&amp;"'!C2:C1000")=$C47)
        ),
        5,
        FALSE
    )
)</f>
        <v/>
      </c>
      <c r="F47" s="29">
        <f t="array" ref="F47">IF(
    VLOOKUP(
        $A47,
        _xlfn._xlws.FILTER(
            INDIRECT("'"&amp;F$40&amp;"'!A2:E1000"), (INDIRECT("'"&amp;F$40&amp;"'!B2:B1000")=$B47) * (INDIRECT("'"&amp;F$40&amp;"'!C2:C1000")=$C47)
        ),
        5,
        FALSE
    )=0,
    "",
    VLOOKUP(
        $A47,
        _xlfn._xlws.FILTER(
            INDIRECT("'"&amp;F$40&amp;"'!A2:E1000"), (INDIRECT("'"&amp;F$40&amp;"'!B2:B1000")=$B47) * (INDIRECT("'"&amp;F$40&amp;"'!C2:C1000")=$C47)
        ),
        5,
        FALSE
    )
)</f>
        <v/>
      </c>
    </row>
    <row r="48">
      <c r="A48" s="35" t="inlineStr">
        <is>
          <t>Larissa</t>
        </is>
      </c>
      <c r="B48" s="36" t="inlineStr">
        <is>
          <t>Foz do Iguaçu</t>
        </is>
      </c>
      <c r="C48" s="36" t="n">
        <v>8</v>
      </c>
      <c r="D48" s="29">
        <f t="array" ref="D48">IF(
    VLOOKUP(
        $A48,
        _xlfn._xlws.FILTER(
            INDIRECT("'"&amp;D$40&amp;"'!A2:E1000"), (INDIRECT("'"&amp;D$40&amp;"'!B2:B1000")=$B48) * (INDIRECT("'"&amp;D$40&amp;"'!C2:C1000")=$C48)
        ),
        5,
        FALSE
    )=0,
    "",
    VLOOKUP(
        $A48,
        _xlfn._xlws.FILTER(
            INDIRECT("'"&amp;D$40&amp;"'!A2:E1000"), (INDIRECT("'"&amp;D$40&amp;"'!B2:B1000")=$B48) * (INDIRECT("'"&amp;D$40&amp;"'!C2:C1000")=$C48)
        ),
        5,
        FALSE
    )
)</f>
        <v/>
      </c>
      <c r="E48" s="29">
        <f t="array" ref="E48">IF(
    VLOOKUP(
        $A48,
        _xlfn._xlws.FILTER(
            INDIRECT("'"&amp;E$40&amp;"'!A2:E1000"), (INDIRECT("'"&amp;E$40&amp;"'!B2:B1000")=$B48) * (INDIRECT("'"&amp;E$40&amp;"'!C2:C1000")=$C48)
        ),
        5,
        FALSE
    )=0,
    "",
    VLOOKUP(
        $A48,
        _xlfn._xlws.FILTER(
            INDIRECT("'"&amp;E$40&amp;"'!A2:E1000"), (INDIRECT("'"&amp;E$40&amp;"'!B2:B1000")=$B48) * (INDIRECT("'"&amp;E$40&amp;"'!C2:C1000")=$C48)
        ),
        5,
        FALSE
    )
)</f>
        <v/>
      </c>
      <c r="F48" s="29">
        <f t="array" ref="F48">IF(
    VLOOKUP(
        $A48,
        _xlfn._xlws.FILTER(
            INDIRECT("'"&amp;F$40&amp;"'!A2:E1000"), (INDIRECT("'"&amp;F$40&amp;"'!B2:B1000")=$B48) * (INDIRECT("'"&amp;F$40&amp;"'!C2:C1000")=$C48)
        ),
        5,
        FALSE
    )=0,
    "",
    VLOOKUP(
        $A48,
        _xlfn._xlws.FILTER(
            INDIRECT("'"&amp;F$40&amp;"'!A2:E1000"), (INDIRECT("'"&amp;F$40&amp;"'!B2:B1000")=$B48) * (INDIRECT("'"&amp;F$40&amp;"'!C2:C1000")=$C48)
        ),
        5,
        FALSE
    )
)</f>
        <v/>
      </c>
    </row>
    <row r="49">
      <c r="A49" s="35" t="inlineStr">
        <is>
          <t>Larissa</t>
        </is>
      </c>
      <c r="B49" s="36" t="inlineStr">
        <is>
          <t>Foz do Iguaçu</t>
        </is>
      </c>
      <c r="C49" s="36" t="n">
        <v>9</v>
      </c>
      <c r="D49" s="29">
        <f t="array" ref="D49">IF(
    VLOOKUP(
        $A49,
        _xlfn._xlws.FILTER(
            INDIRECT("'"&amp;D$40&amp;"'!A2:E1000"), (INDIRECT("'"&amp;D$40&amp;"'!B2:B1000")=$B49) * (INDIRECT("'"&amp;D$40&amp;"'!C2:C1000")=$C49)
        ),
        5,
        FALSE
    )=0,
    "",
    VLOOKUP(
        $A49,
        _xlfn._xlws.FILTER(
            INDIRECT("'"&amp;D$40&amp;"'!A2:E1000"), (INDIRECT("'"&amp;D$40&amp;"'!B2:B1000")=$B49) * (INDIRECT("'"&amp;D$40&amp;"'!C2:C1000")=$C49)
        ),
        5,
        FALSE
    )
)</f>
        <v/>
      </c>
      <c r="E49" s="29">
        <f t="array" ref="E49">IF(
    VLOOKUP(
        $A49,
        _xlfn._xlws.FILTER(
            INDIRECT("'"&amp;E$40&amp;"'!A2:E1000"), (INDIRECT("'"&amp;E$40&amp;"'!B2:B1000")=$B49) * (INDIRECT("'"&amp;E$40&amp;"'!C2:C1000")=$C49)
        ),
        5,
        FALSE
    )=0,
    "",
    VLOOKUP(
        $A49,
        _xlfn._xlws.FILTER(
            INDIRECT("'"&amp;E$40&amp;"'!A2:E1000"), (INDIRECT("'"&amp;E$40&amp;"'!B2:B1000")=$B49) * (INDIRECT("'"&amp;E$40&amp;"'!C2:C1000")=$C49)
        ),
        5,
        FALSE
    )
)</f>
        <v/>
      </c>
      <c r="F49" s="29">
        <f t="array" ref="F49">IF(
    VLOOKUP(
        $A49,
        _xlfn._xlws.FILTER(
            INDIRECT("'"&amp;F$40&amp;"'!A2:E1000"), (INDIRECT("'"&amp;F$40&amp;"'!B2:B1000")=$B49) * (INDIRECT("'"&amp;F$40&amp;"'!C2:C1000")=$C49)
        ),
        5,
        FALSE
    )=0,
    "",
    VLOOKUP(
        $A49,
        _xlfn._xlws.FILTER(
            INDIRECT("'"&amp;F$40&amp;"'!A2:E1000"), (INDIRECT("'"&amp;F$40&amp;"'!B2:B1000")=$B49) * (INDIRECT("'"&amp;F$40&amp;"'!C2:C1000")=$C49)
        ),
        5,
        FALSE
    )
)</f>
        <v/>
      </c>
    </row>
    <row r="50">
      <c r="A50" s="35" t="inlineStr">
        <is>
          <t>Larissa</t>
        </is>
      </c>
      <c r="B50" s="36" t="inlineStr">
        <is>
          <t>Medianeira</t>
        </is>
      </c>
      <c r="C50" s="36" t="n">
        <v>1</v>
      </c>
      <c r="D50" s="29">
        <f t="array" ref="D50">IF(
    VLOOKUP(
        $A50,
        _xlfn._xlws.FILTER(
            INDIRECT("'"&amp;D$40&amp;"'!A2:E1000"), (INDIRECT("'"&amp;D$40&amp;"'!B2:B1000")=$B50) * (INDIRECT("'"&amp;D$40&amp;"'!C2:C1000")=$C50)
        ),
        5,
        FALSE
    )=0,
    "",
    VLOOKUP(
        $A50,
        _xlfn._xlws.FILTER(
            INDIRECT("'"&amp;D$40&amp;"'!A2:E1000"), (INDIRECT("'"&amp;D$40&amp;"'!B2:B1000")=$B50) * (INDIRECT("'"&amp;D$40&amp;"'!C2:C1000")=$C50)
        ),
        5,
        FALSE
    )
)</f>
        <v/>
      </c>
      <c r="E50" s="29">
        <f t="array" ref="E50">IF(
    VLOOKUP(
        $A50,
        _xlfn._xlws.FILTER(
            INDIRECT("'"&amp;E$40&amp;"'!A2:E1000"), (INDIRECT("'"&amp;E$40&amp;"'!B2:B1000")=$B50) * (INDIRECT("'"&amp;E$40&amp;"'!C2:C1000")=$C50)
        ),
        5,
        FALSE
    )=0,
    "",
    VLOOKUP(
        $A50,
        _xlfn._xlws.FILTER(
            INDIRECT("'"&amp;E$40&amp;"'!A2:E1000"), (INDIRECT("'"&amp;E$40&amp;"'!B2:B1000")=$B50) * (INDIRECT("'"&amp;E$40&amp;"'!C2:C1000")=$C50)
        ),
        5,
        FALSE
    )
)</f>
        <v/>
      </c>
      <c r="F50" s="29">
        <f t="array" ref="F50">IF(
    VLOOKUP(
        $A50,
        _xlfn._xlws.FILTER(
            INDIRECT("'"&amp;F$40&amp;"'!A2:E1000"), (INDIRECT("'"&amp;F$40&amp;"'!B2:B1000")=$B50) * (INDIRECT("'"&amp;F$40&amp;"'!C2:C1000")=$C50)
        ),
        5,
        FALSE
    )=0,
    "",
    VLOOKUP(
        $A50,
        _xlfn._xlws.FILTER(
            INDIRECT("'"&amp;F$40&amp;"'!A2:E1000"), (INDIRECT("'"&amp;F$40&amp;"'!B2:B1000")=$B50) * (INDIRECT("'"&amp;F$40&amp;"'!C2:C1000")=$C50)
        ),
        5,
        FALSE
    )
)</f>
        <v/>
      </c>
    </row>
    <row r="51">
      <c r="A51" s="35" t="inlineStr">
        <is>
          <t>Larissa</t>
        </is>
      </c>
      <c r="B51" s="36" t="inlineStr">
        <is>
          <t>Santa Terezinha de Itaipu</t>
        </is>
      </c>
      <c r="C51" s="36" t="n">
        <v>1</v>
      </c>
      <c r="D51" s="29">
        <f t="array" ref="D51">IF(
    VLOOKUP(
        $A51,
        _xlfn._xlws.FILTER(
            INDIRECT("'"&amp;D$40&amp;"'!A2:E1000"), (INDIRECT("'"&amp;D$40&amp;"'!B2:B1000")=$B51) * (INDIRECT("'"&amp;D$40&amp;"'!C2:C1000")=$C51)
        ),
        5,
        FALSE
    )=0,
    "",
    VLOOKUP(
        $A51,
        _xlfn._xlws.FILTER(
            INDIRECT("'"&amp;D$40&amp;"'!A2:E1000"), (INDIRECT("'"&amp;D$40&amp;"'!B2:B1000")=$B51) * (INDIRECT("'"&amp;D$40&amp;"'!C2:C1000")=$C51)
        ),
        5,
        FALSE
    )
)</f>
        <v/>
      </c>
      <c r="E51" s="29">
        <f t="array" ref="E51">IF(
    VLOOKUP(
        $A51,
        _xlfn._xlws.FILTER(
            INDIRECT("'"&amp;E$40&amp;"'!A2:E1000"), (INDIRECT("'"&amp;E$40&amp;"'!B2:B1000")=$B51) * (INDIRECT("'"&amp;E$40&amp;"'!C2:C1000")=$C51)
        ),
        5,
        FALSE
    )=0,
    "",
    VLOOKUP(
        $A51,
        _xlfn._xlws.FILTER(
            INDIRECT("'"&amp;E$40&amp;"'!A2:E1000"), (INDIRECT("'"&amp;E$40&amp;"'!B2:B1000")=$B51) * (INDIRECT("'"&amp;E$40&amp;"'!C2:C1000")=$C51)
        ),
        5,
        FALSE
    )
)</f>
        <v/>
      </c>
      <c r="F51" s="29">
        <f t="array" ref="F51">IF(
    VLOOKUP(
        $A51,
        _xlfn._xlws.FILTER(
            INDIRECT("'"&amp;F$40&amp;"'!A2:E1000"), (INDIRECT("'"&amp;F$40&amp;"'!B2:B1000")=$B51) * (INDIRECT("'"&amp;F$40&amp;"'!C2:C1000")=$C51)
        ),
        5,
        FALSE
    )=0,
    "",
    VLOOKUP(
        $A51,
        _xlfn._xlws.FILTER(
            INDIRECT("'"&amp;F$40&amp;"'!A2:E1000"), (INDIRECT("'"&amp;F$40&amp;"'!B2:B1000")=$B51) * (INDIRECT("'"&amp;F$40&amp;"'!C2:C1000")=$C51)
        ),
        5,
        FALSE
    )
)</f>
        <v/>
      </c>
    </row>
    <row r="52">
      <c r="A52" s="35" t="inlineStr">
        <is>
          <t>Larissa</t>
        </is>
      </c>
      <c r="B52" s="36" t="inlineStr">
        <is>
          <t>São Miguel do Iguaçu</t>
        </is>
      </c>
      <c r="C52" s="36" t="n">
        <v>1</v>
      </c>
      <c r="D52" s="29">
        <f t="array" ref="D52">IF(
    VLOOKUP(
        $A52,
        _xlfn._xlws.FILTER(
            INDIRECT("'"&amp;D$40&amp;"'!A2:E1000"), (INDIRECT("'"&amp;D$40&amp;"'!B2:B1000")=$B52) * (INDIRECT("'"&amp;D$40&amp;"'!C2:C1000")=$C52)
        ),
        5,
        FALSE
    )=0,
    "",
    VLOOKUP(
        $A52,
        _xlfn._xlws.FILTER(
            INDIRECT("'"&amp;D$40&amp;"'!A2:E1000"), (INDIRECT("'"&amp;D$40&amp;"'!B2:B1000")=$B52) * (INDIRECT("'"&amp;D$40&amp;"'!C2:C1000")=$C52)
        ),
        5,
        FALSE
    )
)</f>
        <v/>
      </c>
      <c r="E52" s="29">
        <f t="array" ref="E52">IF(
    VLOOKUP(
        $A52,
        _xlfn._xlws.FILTER(
            INDIRECT("'"&amp;E$40&amp;"'!A2:E1000"), (INDIRECT("'"&amp;E$40&amp;"'!B2:B1000")=$B52) * (INDIRECT("'"&amp;E$40&amp;"'!C2:C1000")=$C52)
        ),
        5,
        FALSE
    )=0,
    "",
    VLOOKUP(
        $A52,
        _xlfn._xlws.FILTER(
            INDIRECT("'"&amp;E$40&amp;"'!A2:E1000"), (INDIRECT("'"&amp;E$40&amp;"'!B2:B1000")=$B52) * (INDIRECT("'"&amp;E$40&amp;"'!C2:C1000")=$C52)
        ),
        5,
        FALSE
    )
)</f>
        <v/>
      </c>
      <c r="F52" s="29">
        <f t="array" ref="F52">IF(
    VLOOKUP(
        $A52,
        _xlfn._xlws.FILTER(
            INDIRECT("'"&amp;F$40&amp;"'!A2:E1000"), (INDIRECT("'"&amp;F$40&amp;"'!B2:B1000")=$B52) * (INDIRECT("'"&amp;F$40&amp;"'!C2:C1000")=$C52)
        ),
        5,
        FALSE
    )=0,
    "",
    VLOOKUP(
        $A52,
        _xlfn._xlws.FILTER(
            INDIRECT("'"&amp;F$40&amp;"'!A2:E1000"), (INDIRECT("'"&amp;F$40&amp;"'!B2:B1000")=$B52) * (INDIRECT("'"&amp;F$40&amp;"'!C2:C1000")=$C52)
        ),
        5,
        FALSE
    )
)</f>
        <v/>
      </c>
    </row>
    <row r="53">
      <c r="A53" s="35" t="inlineStr">
        <is>
          <t>Larissa</t>
        </is>
      </c>
      <c r="B53" s="36" t="inlineStr">
        <is>
          <t>Serranopolis do Iguaçu</t>
        </is>
      </c>
      <c r="C53" s="36" t="n">
        <v>1</v>
      </c>
      <c r="D53" s="29">
        <f t="array" ref="D53">IF(
    VLOOKUP(
        $A53,
        _xlfn._xlws.FILTER(
            INDIRECT("'"&amp;D$40&amp;"'!A2:E1000"), (INDIRECT("'"&amp;D$40&amp;"'!B2:B1000")=$B53) * (INDIRECT("'"&amp;D$40&amp;"'!C2:C1000")=$C53)
        ),
        5,
        FALSE
    )=0,
    "",
    VLOOKUP(
        $A53,
        _xlfn._xlws.FILTER(
            INDIRECT("'"&amp;D$40&amp;"'!A2:E1000"), (INDIRECT("'"&amp;D$40&amp;"'!B2:B1000")=$B53) * (INDIRECT("'"&amp;D$40&amp;"'!C2:C1000")=$C53)
        ),
        5,
        FALSE
    )
)</f>
        <v/>
      </c>
      <c r="E53" s="29">
        <f t="array" ref="E53">IF(
    VLOOKUP(
        $A53,
        _xlfn._xlws.FILTER(
            INDIRECT("'"&amp;E$40&amp;"'!A2:E1000"), (INDIRECT("'"&amp;E$40&amp;"'!B2:B1000")=$B53) * (INDIRECT("'"&amp;E$40&amp;"'!C2:C1000")=$C53)
        ),
        5,
        FALSE
    )=0,
    "",
    VLOOKUP(
        $A53,
        _xlfn._xlws.FILTER(
            INDIRECT("'"&amp;E$40&amp;"'!A2:E1000"), (INDIRECT("'"&amp;E$40&amp;"'!B2:B1000")=$B53) * (INDIRECT("'"&amp;E$40&amp;"'!C2:C1000")=$C53)
        ),
        5,
        FALSE
    )
)</f>
        <v/>
      </c>
      <c r="F53" s="29">
        <f t="array" ref="F53">IF(
    VLOOKUP(
        $A53,
        _xlfn._xlws.FILTER(
            INDIRECT("'"&amp;F$40&amp;"'!A2:E1000"), (INDIRECT("'"&amp;F$40&amp;"'!B2:B1000")=$B53) * (INDIRECT("'"&amp;F$40&amp;"'!C2:C1000")=$C53)
        ),
        5,
        FALSE
    )=0,
    "",
    VLOOKUP(
        $A53,
        _xlfn._xlws.FILTER(
            INDIRECT("'"&amp;F$40&amp;"'!A2:E1000"), (INDIRECT("'"&amp;F$40&amp;"'!B2:B1000")=$B53) * (INDIRECT("'"&amp;F$40&amp;"'!C2:C1000")=$C53)
        ),
        5,
        FALSE
    )
)</f>
        <v/>
      </c>
    </row>
    <row r="54"/>
    <row r="55" ht="15.75" customHeight="1">
      <c r="A55" s="37" t="inlineStr">
        <is>
          <t>Regional</t>
        </is>
      </c>
      <c r="B55" s="27" t="inlineStr">
        <is>
          <t>Municípios</t>
        </is>
      </c>
      <c r="C55" s="27" t="inlineStr">
        <is>
          <t>UVR</t>
        </is>
      </c>
      <c r="D55" s="27" t="inlineStr">
        <is>
          <t>Form 1 - Município</t>
        </is>
      </c>
      <c r="E55" s="27" t="inlineStr">
        <is>
          <t>Form 2 - UVR</t>
        </is>
      </c>
      <c r="F55" s="27" t="inlineStr">
        <is>
          <t>Form 3 - Empreendimento</t>
        </is>
      </c>
    </row>
    <row r="56">
      <c r="A56" s="38" t="inlineStr">
        <is>
          <t>Luana</t>
        </is>
      </c>
      <c r="B56" s="36" t="inlineStr">
        <is>
          <t>Diamante d'Oeste</t>
        </is>
      </c>
      <c r="C56" s="36" t="n">
        <v>1</v>
      </c>
      <c r="D56" s="29">
        <f t="array" ref="D56">IF(
    VLOOKUP(
        $A56,
        _xlfn._xlws.FILTER(
            INDIRECT("'"&amp;D$40&amp;"'!A2:E1000"), (INDIRECT("'"&amp;D$40&amp;"'!B2:B1000")=$B56) * (INDIRECT("'"&amp;D$40&amp;"'!C2:C1000")=$C56)
        ),
        5,
        FALSE
    )=0,
    "",
    VLOOKUP(
        $A56,
        _xlfn._xlws.FILTER(
            INDIRECT("'"&amp;D$40&amp;"'!A2:E1000"), (INDIRECT("'"&amp;D$40&amp;"'!B2:B1000")=$B56) * (INDIRECT("'"&amp;D$40&amp;"'!C2:C1000")=$C56)
        ),
        5,
        FALSE
    )
)</f>
        <v/>
      </c>
      <c r="E56" s="29">
        <f t="array" ref="E56">IF(
    VLOOKUP(
        $A56,
        _xlfn._xlws.FILTER(
            INDIRECT("'"&amp;E$40&amp;"'!A2:E1000"), (INDIRECT("'"&amp;E$40&amp;"'!B2:B1000")=$B56) * (INDIRECT("'"&amp;E$40&amp;"'!C2:C1000")=$C56)
        ),
        5,
        FALSE
    )=0,
    "",
    VLOOKUP(
        $A56,
        _xlfn._xlws.FILTER(
            INDIRECT("'"&amp;E$40&amp;"'!A2:E1000"), (INDIRECT("'"&amp;E$40&amp;"'!B2:B1000")=$B56) * (INDIRECT("'"&amp;E$40&amp;"'!C2:C1000")=$C56)
        ),
        5,
        FALSE
    )
)</f>
        <v/>
      </c>
      <c r="F56" s="29">
        <f t="array" ref="F56">IF(
    VLOOKUP(
        $A56,
        _xlfn._xlws.FILTER(
            INDIRECT("'"&amp;F$40&amp;"'!A2:E1000"), (INDIRECT("'"&amp;F$40&amp;"'!B2:B1000")=$B56) * (INDIRECT("'"&amp;F$40&amp;"'!C2:C1000")=$C56)
        ),
        5,
        FALSE
    )=0,
    "",
    VLOOKUP(
        $A56,
        _xlfn._xlws.FILTER(
            INDIRECT("'"&amp;F$40&amp;"'!A2:E1000"), (INDIRECT("'"&amp;F$40&amp;"'!B2:B1000")=$B56) * (INDIRECT("'"&amp;F$40&amp;"'!C2:C1000")=$C56)
        ),
        5,
        FALSE
    )
)</f>
        <v/>
      </c>
    </row>
    <row r="57">
      <c r="A57" s="38" t="inlineStr">
        <is>
          <t>Luana</t>
        </is>
      </c>
      <c r="B57" s="36" t="inlineStr">
        <is>
          <t>Entre Rios do Oeste</t>
        </is>
      </c>
      <c r="C57" s="36" t="n">
        <v>1</v>
      </c>
      <c r="D57" s="29">
        <f t="array" ref="D57">IF(
    VLOOKUP(
        $A57,
        _xlfn._xlws.FILTER(
            INDIRECT("'"&amp;D$40&amp;"'!A2:E1000"), (INDIRECT("'"&amp;D$40&amp;"'!B2:B1000")=$B57) * (INDIRECT("'"&amp;D$40&amp;"'!C2:C1000")=$C57)
        ),
        5,
        FALSE
    )=0,
    "",
    VLOOKUP(
        $A57,
        _xlfn._xlws.FILTER(
            INDIRECT("'"&amp;D$40&amp;"'!A2:E1000"), (INDIRECT("'"&amp;D$40&amp;"'!B2:B1000")=$B57) * (INDIRECT("'"&amp;D$40&amp;"'!C2:C1000")=$C57)
        ),
        5,
        FALSE
    )
)</f>
        <v/>
      </c>
      <c r="E57" s="29">
        <f t="array" ref="E57">IF(
    VLOOKUP(
        $A57,
        _xlfn._xlws.FILTER(
            INDIRECT("'"&amp;E$40&amp;"'!A2:E1000"), (INDIRECT("'"&amp;E$40&amp;"'!B2:B1000")=$B57) * (INDIRECT("'"&amp;E$40&amp;"'!C2:C1000")=$C57)
        ),
        5,
        FALSE
    )=0,
    "",
    VLOOKUP(
        $A57,
        _xlfn._xlws.FILTER(
            INDIRECT("'"&amp;E$40&amp;"'!A2:E1000"), (INDIRECT("'"&amp;E$40&amp;"'!B2:B1000")=$B57) * (INDIRECT("'"&amp;E$40&amp;"'!C2:C1000")=$C57)
        ),
        5,
        FALSE
    )
)</f>
        <v/>
      </c>
      <c r="F57" s="29">
        <f t="array" ref="F57">IF(
    VLOOKUP(
        $A57,
        _xlfn._xlws.FILTER(
            INDIRECT("'"&amp;F$40&amp;"'!A2:E1000"), (INDIRECT("'"&amp;F$40&amp;"'!B2:B1000")=$B57) * (INDIRECT("'"&amp;F$40&amp;"'!C2:C1000")=$C57)
        ),
        5,
        FALSE
    )=0,
    "",
    VLOOKUP(
        $A57,
        _xlfn._xlws.FILTER(
            INDIRECT("'"&amp;F$40&amp;"'!A2:E1000"), (INDIRECT("'"&amp;F$40&amp;"'!B2:B1000")=$B57) * (INDIRECT("'"&amp;F$40&amp;"'!C2:C1000")=$C57)
        ),
        5,
        FALSE
    )
)</f>
        <v/>
      </c>
    </row>
    <row r="58">
      <c r="A58" s="38" t="inlineStr">
        <is>
          <t>Luana</t>
        </is>
      </c>
      <c r="B58" s="36" t="inlineStr">
        <is>
          <t>Itaipulândia</t>
        </is>
      </c>
      <c r="C58" s="36" t="n">
        <v>1</v>
      </c>
      <c r="D58" s="29">
        <f t="array" ref="D58">IF(
    VLOOKUP(
        $A58,
        _xlfn._xlws.FILTER(
            INDIRECT("'"&amp;D$40&amp;"'!A2:E1000"), (INDIRECT("'"&amp;D$40&amp;"'!B2:B1000")=$B58) * (INDIRECT("'"&amp;D$40&amp;"'!C2:C1000")=$C58)
        ),
        5,
        FALSE
    )=0,
    "",
    VLOOKUP(
        $A58,
        _xlfn._xlws.FILTER(
            INDIRECT("'"&amp;D$40&amp;"'!A2:E1000"), (INDIRECT("'"&amp;D$40&amp;"'!B2:B1000")=$B58) * (INDIRECT("'"&amp;D$40&amp;"'!C2:C1000")=$C58)
        ),
        5,
        FALSE
    )
)</f>
        <v/>
      </c>
      <c r="E58" s="29">
        <f t="array" ref="E58">IF(
    VLOOKUP(
        $A58,
        _xlfn._xlws.FILTER(
            INDIRECT("'"&amp;E$40&amp;"'!A2:E1000"), (INDIRECT("'"&amp;E$40&amp;"'!B2:B1000")=$B58) * (INDIRECT("'"&amp;E$40&amp;"'!C2:C1000")=$C58)
        ),
        5,
        FALSE
    )=0,
    "",
    VLOOKUP(
        $A58,
        _xlfn._xlws.FILTER(
            INDIRECT("'"&amp;E$40&amp;"'!A2:E1000"), (INDIRECT("'"&amp;E$40&amp;"'!B2:B1000")=$B58) * (INDIRECT("'"&amp;E$40&amp;"'!C2:C1000")=$C58)
        ),
        5,
        FALSE
    )
)</f>
        <v/>
      </c>
      <c r="F58" s="29">
        <f t="array" ref="F58">IF(
    VLOOKUP(
        $A58,
        _xlfn._xlws.FILTER(
            INDIRECT("'"&amp;F$40&amp;"'!A2:E1000"), (INDIRECT("'"&amp;F$40&amp;"'!B2:B1000")=$B58) * (INDIRECT("'"&amp;F$40&amp;"'!C2:C1000")=$C58)
        ),
        5,
        FALSE
    )=0,
    "",
    VLOOKUP(
        $A58,
        _xlfn._xlws.FILTER(
            INDIRECT("'"&amp;F$40&amp;"'!A2:E1000"), (INDIRECT("'"&amp;F$40&amp;"'!B2:B1000")=$B58) * (INDIRECT("'"&amp;F$40&amp;"'!C2:C1000")=$C58)
        ),
        5,
        FALSE
    )
)</f>
        <v/>
      </c>
    </row>
    <row r="59">
      <c r="A59" s="38" t="inlineStr">
        <is>
          <t>Luana</t>
        </is>
      </c>
      <c r="B59" s="36" t="inlineStr">
        <is>
          <t>Marechal Candido Rondon</t>
        </is>
      </c>
      <c r="C59" s="36" t="n">
        <v>1</v>
      </c>
      <c r="D59" s="29">
        <f t="array" ref="D59">IF(
    VLOOKUP(
        $A59,
        _xlfn._xlws.FILTER(
            INDIRECT("'"&amp;D$40&amp;"'!A2:E1000"), (INDIRECT("'"&amp;D$40&amp;"'!B2:B1000")=$B59) * (INDIRECT("'"&amp;D$40&amp;"'!C2:C1000")=$C59)
        ),
        5,
        FALSE
    )=0,
    "",
    VLOOKUP(
        $A59,
        _xlfn._xlws.FILTER(
            INDIRECT("'"&amp;D$40&amp;"'!A2:E1000"), (INDIRECT("'"&amp;D$40&amp;"'!B2:B1000")=$B59) * (INDIRECT("'"&amp;D$40&amp;"'!C2:C1000")=$C59)
        ),
        5,
        FALSE
    )
)</f>
        <v/>
      </c>
      <c r="E59" s="29">
        <f t="array" ref="E59">IF(
    VLOOKUP(
        $A59,
        _xlfn._xlws.FILTER(
            INDIRECT("'"&amp;E$40&amp;"'!A2:E1000"), (INDIRECT("'"&amp;E$40&amp;"'!B2:B1000")=$B59) * (INDIRECT("'"&amp;E$40&amp;"'!C2:C1000")=$C59)
        ),
        5,
        FALSE
    )=0,
    "",
    VLOOKUP(
        $A59,
        _xlfn._xlws.FILTER(
            INDIRECT("'"&amp;E$40&amp;"'!A2:E1000"), (INDIRECT("'"&amp;E$40&amp;"'!B2:B1000")=$B59) * (INDIRECT("'"&amp;E$40&amp;"'!C2:C1000")=$C59)
        ),
        5,
        FALSE
    )
)</f>
        <v/>
      </c>
      <c r="F59" s="29">
        <f t="array" ref="F59">IF(
    VLOOKUP(
        $A59,
        _xlfn._xlws.FILTER(
            INDIRECT("'"&amp;F$40&amp;"'!A2:E1000"), (INDIRECT("'"&amp;F$40&amp;"'!B2:B1000")=$B59) * (INDIRECT("'"&amp;F$40&amp;"'!C2:C1000")=$C59)
        ),
        5,
        FALSE
    )=0,
    "",
    VLOOKUP(
        $A59,
        _xlfn._xlws.FILTER(
            INDIRECT("'"&amp;F$40&amp;"'!A2:E1000"), (INDIRECT("'"&amp;F$40&amp;"'!B2:B1000")=$B59) * (INDIRECT("'"&amp;F$40&amp;"'!C2:C1000")=$C59)
        ),
        5,
        FALSE
    )
)</f>
        <v/>
      </c>
    </row>
    <row r="60">
      <c r="A60" s="38" t="inlineStr">
        <is>
          <t>Luana</t>
        </is>
      </c>
      <c r="B60" s="36" t="inlineStr">
        <is>
          <t>Marechal Candido Rondon</t>
        </is>
      </c>
      <c r="C60" s="36" t="n">
        <v>2</v>
      </c>
      <c r="D60" s="29">
        <f t="array" ref="D60">IF(
    VLOOKUP(
        $A60,
        _xlfn._xlws.FILTER(
            INDIRECT("'"&amp;D$40&amp;"'!A2:E1000"), (INDIRECT("'"&amp;D$40&amp;"'!B2:B1000")=$B60) * (INDIRECT("'"&amp;D$40&amp;"'!C2:C1000")=$C60)
        ),
        5,
        FALSE
    )=0,
    "",
    VLOOKUP(
        $A60,
        _xlfn._xlws.FILTER(
            INDIRECT("'"&amp;D$40&amp;"'!A2:E1000"), (INDIRECT("'"&amp;D$40&amp;"'!B2:B1000")=$B60) * (INDIRECT("'"&amp;D$40&amp;"'!C2:C1000")=$C60)
        ),
        5,
        FALSE
    )
)</f>
        <v/>
      </c>
      <c r="E60" s="29">
        <f t="array" ref="E60">IF(
    VLOOKUP(
        $A60,
        _xlfn._xlws.FILTER(
            INDIRECT("'"&amp;E$40&amp;"'!A2:E1000"), (INDIRECT("'"&amp;E$40&amp;"'!B2:B1000")=$B60) * (INDIRECT("'"&amp;E$40&amp;"'!C2:C1000")=$C60)
        ),
        5,
        FALSE
    )=0,
    "",
    VLOOKUP(
        $A60,
        _xlfn._xlws.FILTER(
            INDIRECT("'"&amp;E$40&amp;"'!A2:E1000"), (INDIRECT("'"&amp;E$40&amp;"'!B2:B1000")=$B60) * (INDIRECT("'"&amp;E$40&amp;"'!C2:C1000")=$C60)
        ),
        5,
        FALSE
    )
)</f>
        <v/>
      </c>
      <c r="F60" s="29">
        <f t="array" ref="F60">IF(
    VLOOKUP(
        $A60,
        _xlfn._xlws.FILTER(
            INDIRECT("'"&amp;F$40&amp;"'!A2:E1000"), (INDIRECT("'"&amp;F$40&amp;"'!B2:B1000")=$B60) * (INDIRECT("'"&amp;F$40&amp;"'!C2:C1000")=$C60)
        ),
        5,
        FALSE
    )=0,
    "",
    VLOOKUP(
        $A60,
        _xlfn._xlws.FILTER(
            INDIRECT("'"&amp;F$40&amp;"'!A2:E1000"), (INDIRECT("'"&amp;F$40&amp;"'!B2:B1000")=$B60) * (INDIRECT("'"&amp;F$40&amp;"'!C2:C1000")=$C60)
        ),
        5,
        FALSE
    )
)</f>
        <v/>
      </c>
    </row>
    <row r="61">
      <c r="A61" s="38" t="inlineStr">
        <is>
          <t>Luana</t>
        </is>
      </c>
      <c r="B61" s="36" t="inlineStr">
        <is>
          <t>Matelândia</t>
        </is>
      </c>
      <c r="C61" s="36" t="n">
        <v>1</v>
      </c>
      <c r="D61" s="29">
        <f t="array" ref="D61">IF(
    VLOOKUP(
        $A61,
        _xlfn._xlws.FILTER(
            INDIRECT("'"&amp;D$40&amp;"'!A2:E1000"), (INDIRECT("'"&amp;D$40&amp;"'!B2:B1000")=$B61) * (INDIRECT("'"&amp;D$40&amp;"'!C2:C1000")=$C61)
        ),
        5,
        FALSE
    )=0,
    "",
    VLOOKUP(
        $A61,
        _xlfn._xlws.FILTER(
            INDIRECT("'"&amp;D$40&amp;"'!A2:E1000"), (INDIRECT("'"&amp;D$40&amp;"'!B2:B1000")=$B61) * (INDIRECT("'"&amp;D$40&amp;"'!C2:C1000")=$C61)
        ),
        5,
        FALSE
    )
)</f>
        <v/>
      </c>
      <c r="E61" s="29">
        <f t="array" ref="E61">IF(
    VLOOKUP(
        $A61,
        _xlfn._xlws.FILTER(
            INDIRECT("'"&amp;E$40&amp;"'!A2:E1000"), (INDIRECT("'"&amp;E$40&amp;"'!B2:B1000")=$B61) * (INDIRECT("'"&amp;E$40&amp;"'!C2:C1000")=$C61)
        ),
        5,
        FALSE
    )=0,
    "",
    VLOOKUP(
        $A61,
        _xlfn._xlws.FILTER(
            INDIRECT("'"&amp;E$40&amp;"'!A2:E1000"), (INDIRECT("'"&amp;E$40&amp;"'!B2:B1000")=$B61) * (INDIRECT("'"&amp;E$40&amp;"'!C2:C1000")=$C61)
        ),
        5,
        FALSE
    )
)</f>
        <v/>
      </c>
      <c r="F61" s="29">
        <f t="array" ref="F61">IF(
    VLOOKUP(
        $A61,
        _xlfn._xlws.FILTER(
            INDIRECT("'"&amp;F$40&amp;"'!A2:E1000"), (INDIRECT("'"&amp;F$40&amp;"'!B2:B1000")=$B61) * (INDIRECT("'"&amp;F$40&amp;"'!C2:C1000")=$C61)
        ),
        5,
        FALSE
    )=0,
    "",
    VLOOKUP(
        $A61,
        _xlfn._xlws.FILTER(
            INDIRECT("'"&amp;F$40&amp;"'!A2:E1000"), (INDIRECT("'"&amp;F$40&amp;"'!B2:B1000")=$B61) * (INDIRECT("'"&amp;F$40&amp;"'!C2:C1000")=$C61)
        ),
        5,
        FALSE
    )
)</f>
        <v/>
      </c>
    </row>
    <row r="62">
      <c r="A62" s="38" t="inlineStr">
        <is>
          <t>Luana</t>
        </is>
      </c>
      <c r="B62" s="36" t="inlineStr">
        <is>
          <t>Missal</t>
        </is>
      </c>
      <c r="C62" s="36" t="n">
        <v>1</v>
      </c>
      <c r="D62" s="29">
        <f t="array" ref="D62">IF(
    VLOOKUP(
        $A62,
        _xlfn._xlws.FILTER(
            INDIRECT("'"&amp;D$40&amp;"'!A2:E1000"), (INDIRECT("'"&amp;D$40&amp;"'!B2:B1000")=$B62) * (INDIRECT("'"&amp;D$40&amp;"'!C2:C1000")=$C62)
        ),
        5,
        FALSE
    )=0,
    "",
    VLOOKUP(
        $A62,
        _xlfn._xlws.FILTER(
            INDIRECT("'"&amp;D$40&amp;"'!A2:E1000"), (INDIRECT("'"&amp;D$40&amp;"'!B2:B1000")=$B62) * (INDIRECT("'"&amp;D$40&amp;"'!C2:C1000")=$C62)
        ),
        5,
        FALSE
    )
)</f>
        <v/>
      </c>
      <c r="E62" s="29">
        <f t="array" ref="E62">IF(
    VLOOKUP(
        $A62,
        _xlfn._xlws.FILTER(
            INDIRECT("'"&amp;E$40&amp;"'!A2:E1000"), (INDIRECT("'"&amp;E$40&amp;"'!B2:B1000")=$B62) * (INDIRECT("'"&amp;E$40&amp;"'!C2:C1000")=$C62)
        ),
        5,
        FALSE
    )=0,
    "",
    VLOOKUP(
        $A62,
        _xlfn._xlws.FILTER(
            INDIRECT("'"&amp;E$40&amp;"'!A2:E1000"), (INDIRECT("'"&amp;E$40&amp;"'!B2:B1000")=$B62) * (INDIRECT("'"&amp;E$40&amp;"'!C2:C1000")=$C62)
        ),
        5,
        FALSE
    )
)</f>
        <v/>
      </c>
      <c r="F62" s="29">
        <f t="array" ref="F62">IF(
    VLOOKUP(
        $A62,
        _xlfn._xlws.FILTER(
            INDIRECT("'"&amp;F$40&amp;"'!A2:E1000"), (INDIRECT("'"&amp;F$40&amp;"'!B2:B1000")=$B62) * (INDIRECT("'"&amp;F$40&amp;"'!C2:C1000")=$C62)
        ),
        5,
        FALSE
    )=0,
    "",
    VLOOKUP(
        $A62,
        _xlfn._xlws.FILTER(
            INDIRECT("'"&amp;F$40&amp;"'!A2:E1000"), (INDIRECT("'"&amp;F$40&amp;"'!B2:B1000")=$B62) * (INDIRECT("'"&amp;F$40&amp;"'!C2:C1000")=$C62)
        ),
        5,
        FALSE
    )
)</f>
        <v/>
      </c>
    </row>
    <row r="63">
      <c r="A63" s="38" t="inlineStr">
        <is>
          <t>Luana</t>
        </is>
      </c>
      <c r="B63" s="36" t="inlineStr">
        <is>
          <t>Pato Bragado</t>
        </is>
      </c>
      <c r="C63" s="36" t="n">
        <v>1</v>
      </c>
      <c r="D63" s="29">
        <f t="array" ref="D63">IF(
    VLOOKUP(
        $A63,
        _xlfn._xlws.FILTER(
            INDIRECT("'"&amp;D$40&amp;"'!A2:E1000"), (INDIRECT("'"&amp;D$40&amp;"'!B2:B1000")=$B63) * (INDIRECT("'"&amp;D$40&amp;"'!C2:C1000")=$C63)
        ),
        5,
        FALSE
    )=0,
    "",
    VLOOKUP(
        $A63,
        _xlfn._xlws.FILTER(
            INDIRECT("'"&amp;D$40&amp;"'!A2:E1000"), (INDIRECT("'"&amp;D$40&amp;"'!B2:B1000")=$B63) * (INDIRECT("'"&amp;D$40&amp;"'!C2:C1000")=$C63)
        ),
        5,
        FALSE
    )
)</f>
        <v/>
      </c>
      <c r="E63" s="29">
        <f t="array" ref="E63">IF(
    VLOOKUP(
        $A63,
        _xlfn._xlws.FILTER(
            INDIRECT("'"&amp;E$40&amp;"'!A2:E1000"), (INDIRECT("'"&amp;E$40&amp;"'!B2:B1000")=$B63) * (INDIRECT("'"&amp;E$40&amp;"'!C2:C1000")=$C63)
        ),
        5,
        FALSE
    )=0,
    "",
    VLOOKUP(
        $A63,
        _xlfn._xlws.FILTER(
            INDIRECT("'"&amp;E$40&amp;"'!A2:E1000"), (INDIRECT("'"&amp;E$40&amp;"'!B2:B1000")=$B63) * (INDIRECT("'"&amp;E$40&amp;"'!C2:C1000")=$C63)
        ),
        5,
        FALSE
    )
)</f>
        <v/>
      </c>
      <c r="F63" s="29">
        <f t="array" ref="F63">IF(
    VLOOKUP(
        $A63,
        _xlfn._xlws.FILTER(
            INDIRECT("'"&amp;F$40&amp;"'!A2:E1000"), (INDIRECT("'"&amp;F$40&amp;"'!B2:B1000")=$B63) * (INDIRECT("'"&amp;F$40&amp;"'!C2:C1000")=$C63)
        ),
        5,
        FALSE
    )=0,
    "",
    VLOOKUP(
        $A63,
        _xlfn._xlws.FILTER(
            INDIRECT("'"&amp;F$40&amp;"'!A2:E1000"), (INDIRECT("'"&amp;F$40&amp;"'!B2:B1000")=$B63) * (INDIRECT("'"&amp;F$40&amp;"'!C2:C1000")=$C63)
        ),
        5,
        FALSE
    )
)</f>
        <v/>
      </c>
    </row>
    <row r="64">
      <c r="A64" s="38" t="inlineStr">
        <is>
          <t>Luana</t>
        </is>
      </c>
      <c r="B64" s="36" t="inlineStr">
        <is>
          <t>Ramilândia</t>
        </is>
      </c>
      <c r="C64" s="36" t="n">
        <v>1</v>
      </c>
      <c r="D64" s="29">
        <f t="array" ref="D64">IF(
    VLOOKUP(
        $A64,
        _xlfn._xlws.FILTER(
            INDIRECT("'"&amp;D$40&amp;"'!A2:E1000"), (INDIRECT("'"&amp;D$40&amp;"'!B2:B1000")=$B64) * (INDIRECT("'"&amp;D$40&amp;"'!C2:C1000")=$C64)
        ),
        5,
        FALSE
    )=0,
    "",
    VLOOKUP(
        $A64,
        _xlfn._xlws.FILTER(
            INDIRECT("'"&amp;D$40&amp;"'!A2:E1000"), (INDIRECT("'"&amp;D$40&amp;"'!B2:B1000")=$B64) * (INDIRECT("'"&amp;D$40&amp;"'!C2:C1000")=$C64)
        ),
        5,
        FALSE
    )
)</f>
        <v/>
      </c>
      <c r="E64" s="29">
        <f t="array" ref="E64">IF(
    VLOOKUP(
        $A64,
        _xlfn._xlws.FILTER(
            INDIRECT("'"&amp;E$40&amp;"'!A2:E1000"), (INDIRECT("'"&amp;E$40&amp;"'!B2:B1000")=$B64) * (INDIRECT("'"&amp;E$40&amp;"'!C2:C1000")=$C64)
        ),
        5,
        FALSE
    )=0,
    "",
    VLOOKUP(
        $A64,
        _xlfn._xlws.FILTER(
            INDIRECT("'"&amp;E$40&amp;"'!A2:E1000"), (INDIRECT("'"&amp;E$40&amp;"'!B2:B1000")=$B64) * (INDIRECT("'"&amp;E$40&amp;"'!C2:C1000")=$C64)
        ),
        5,
        FALSE
    )
)</f>
        <v/>
      </c>
      <c r="F64" s="29">
        <f t="array" ref="F64">IF(
    VLOOKUP(
        $A64,
        _xlfn._xlws.FILTER(
            INDIRECT("'"&amp;F$40&amp;"'!A2:E1000"), (INDIRECT("'"&amp;F$40&amp;"'!B2:B1000")=$B64) * (INDIRECT("'"&amp;F$40&amp;"'!C2:C1000")=$C64)
        ),
        5,
        FALSE
    )=0,
    "",
    VLOOKUP(
        $A64,
        _xlfn._xlws.FILTER(
            INDIRECT("'"&amp;F$40&amp;"'!A2:E1000"), (INDIRECT("'"&amp;F$40&amp;"'!B2:B1000")=$B64) * (INDIRECT("'"&amp;F$40&amp;"'!C2:C1000")=$C64)
        ),
        5,
        FALSE
    )
)</f>
        <v/>
      </c>
    </row>
    <row r="65">
      <c r="A65" s="38" t="inlineStr">
        <is>
          <t>Luana</t>
        </is>
      </c>
      <c r="B65" s="36" t="inlineStr">
        <is>
          <t>Santa Helena</t>
        </is>
      </c>
      <c r="C65" s="36" t="n">
        <v>1</v>
      </c>
      <c r="D65" s="29">
        <f t="array" ref="D65">IF(
    VLOOKUP(
        $A65,
        _xlfn._xlws.FILTER(
            INDIRECT("'"&amp;D$40&amp;"'!A2:E1000"), (INDIRECT("'"&amp;D$40&amp;"'!B2:B1000")=$B65) * (INDIRECT("'"&amp;D$40&amp;"'!C2:C1000")=$C65)
        ),
        5,
        FALSE
    )=0,
    "",
    VLOOKUP(
        $A65,
        _xlfn._xlws.FILTER(
            INDIRECT("'"&amp;D$40&amp;"'!A2:E1000"), (INDIRECT("'"&amp;D$40&amp;"'!B2:B1000")=$B65) * (INDIRECT("'"&amp;D$40&amp;"'!C2:C1000")=$C65)
        ),
        5,
        FALSE
    )
)</f>
        <v/>
      </c>
      <c r="E65" s="29">
        <f t="array" ref="E65">IF(
    VLOOKUP(
        $A65,
        _xlfn._xlws.FILTER(
            INDIRECT("'"&amp;E$40&amp;"'!A2:E1000"), (INDIRECT("'"&amp;E$40&amp;"'!B2:B1000")=$B65) * (INDIRECT("'"&amp;E$40&amp;"'!C2:C1000")=$C65)
        ),
        5,
        FALSE
    )=0,
    "",
    VLOOKUP(
        $A65,
        _xlfn._xlws.FILTER(
            INDIRECT("'"&amp;E$40&amp;"'!A2:E1000"), (INDIRECT("'"&amp;E$40&amp;"'!B2:B1000")=$B65) * (INDIRECT("'"&amp;E$40&amp;"'!C2:C1000")=$C65)
        ),
        5,
        FALSE
    )
)</f>
        <v/>
      </c>
      <c r="F65" s="29">
        <f t="array" ref="F65">IF(
    VLOOKUP(
        $A65,
        _xlfn._xlws.FILTER(
            INDIRECT("'"&amp;F$40&amp;"'!A2:E1000"), (INDIRECT("'"&amp;F$40&amp;"'!B2:B1000")=$B65) * (INDIRECT("'"&amp;F$40&amp;"'!C2:C1000")=$C65)
        ),
        5,
        FALSE
    )=0,
    "",
    VLOOKUP(
        $A65,
        _xlfn._xlws.FILTER(
            INDIRECT("'"&amp;F$40&amp;"'!A2:E1000"), (INDIRECT("'"&amp;F$40&amp;"'!B2:B1000")=$B65) * (INDIRECT("'"&amp;F$40&amp;"'!C2:C1000")=$C65)
        ),
        5,
        FALSE
    )
)</f>
        <v/>
      </c>
    </row>
    <row r="66">
      <c r="A66" s="38" t="inlineStr">
        <is>
          <t>Luana</t>
        </is>
      </c>
      <c r="B66" s="36" t="inlineStr">
        <is>
          <t>São Pedro do Iguaçu</t>
        </is>
      </c>
      <c r="C66" s="36" t="n">
        <v>1</v>
      </c>
      <c r="D66" s="29">
        <f t="array" ref="D66">IF(
    VLOOKUP(
        $A66,
        _xlfn._xlws.FILTER(
            INDIRECT("'"&amp;D$40&amp;"'!A2:E1000"), (INDIRECT("'"&amp;D$40&amp;"'!B2:B1000")=$B66) * (INDIRECT("'"&amp;D$40&amp;"'!C2:C1000")=$C66)
        ),
        5,
        FALSE
    )=0,
    "",
    VLOOKUP(
        $A66,
        _xlfn._xlws.FILTER(
            INDIRECT("'"&amp;D$40&amp;"'!A2:E1000"), (INDIRECT("'"&amp;D$40&amp;"'!B2:B1000")=$B66) * (INDIRECT("'"&amp;D$40&amp;"'!C2:C1000")=$C66)
        ),
        5,
        FALSE
    )
)</f>
        <v/>
      </c>
      <c r="E66" s="29">
        <f t="array" ref="E66">IF(
    VLOOKUP(
        $A66,
        _xlfn._xlws.FILTER(
            INDIRECT("'"&amp;E$40&amp;"'!A2:E1000"), (INDIRECT("'"&amp;E$40&amp;"'!B2:B1000")=$B66) * (INDIRECT("'"&amp;E$40&amp;"'!C2:C1000")=$C66)
        ),
        5,
        FALSE
    )=0,
    "",
    VLOOKUP(
        $A66,
        _xlfn._xlws.FILTER(
            INDIRECT("'"&amp;E$40&amp;"'!A2:E1000"), (INDIRECT("'"&amp;E$40&amp;"'!B2:B1000")=$B66) * (INDIRECT("'"&amp;E$40&amp;"'!C2:C1000")=$C66)
        ),
        5,
        FALSE
    )
)</f>
        <v/>
      </c>
      <c r="F66" s="29">
        <f t="array" ref="F66">IF(
    VLOOKUP(
        $A66,
        _xlfn._xlws.FILTER(
            INDIRECT("'"&amp;F$40&amp;"'!A2:E1000"), (INDIRECT("'"&amp;F$40&amp;"'!B2:B1000")=$B66) * (INDIRECT("'"&amp;F$40&amp;"'!C2:C1000")=$C66)
        ),
        5,
        FALSE
    )=0,
    "",
    VLOOKUP(
        $A66,
        _xlfn._xlws.FILTER(
            INDIRECT("'"&amp;F$40&amp;"'!A2:E1000"), (INDIRECT("'"&amp;F$40&amp;"'!B2:B1000")=$B66) * (INDIRECT("'"&amp;F$40&amp;"'!C2:C1000")=$C66)
        ),
        5,
        FALSE
    )
)</f>
        <v/>
      </c>
    </row>
    <row r="67">
      <c r="A67" s="38" t="inlineStr">
        <is>
          <t>Luana</t>
        </is>
      </c>
      <c r="B67" s="36" t="inlineStr">
        <is>
          <t>Vera Cruz do Oeste</t>
        </is>
      </c>
      <c r="C67" s="36" t="n">
        <v>1</v>
      </c>
      <c r="D67" s="29">
        <f t="array" ref="D67">IF(
    VLOOKUP(
        $A67,
        _xlfn._xlws.FILTER(
            INDIRECT("'"&amp;D$40&amp;"'!A2:E1000"), (INDIRECT("'"&amp;D$40&amp;"'!B2:B1000")=$B67) * (INDIRECT("'"&amp;D$40&amp;"'!C2:C1000")=$C67)
        ),
        5,
        FALSE
    )=0,
    "",
    VLOOKUP(
        $A67,
        _xlfn._xlws.FILTER(
            INDIRECT("'"&amp;D$40&amp;"'!A2:E1000"), (INDIRECT("'"&amp;D$40&amp;"'!B2:B1000")=$B67) * (INDIRECT("'"&amp;D$40&amp;"'!C2:C1000")=$C67)
        ),
        5,
        FALSE
    )
)</f>
        <v/>
      </c>
      <c r="E67" s="29">
        <f t="array" ref="E67">IF(
    VLOOKUP(
        $A67,
        _xlfn._xlws.FILTER(
            INDIRECT("'"&amp;E$40&amp;"'!A2:E1000"), (INDIRECT("'"&amp;E$40&amp;"'!B2:B1000")=$B67) * (INDIRECT("'"&amp;E$40&amp;"'!C2:C1000")=$C67)
        ),
        5,
        FALSE
    )=0,
    "",
    VLOOKUP(
        $A67,
        _xlfn._xlws.FILTER(
            INDIRECT("'"&amp;E$40&amp;"'!A2:E1000"), (INDIRECT("'"&amp;E$40&amp;"'!B2:B1000")=$B67) * (INDIRECT("'"&amp;E$40&amp;"'!C2:C1000")=$C67)
        ),
        5,
        FALSE
    )
)</f>
        <v/>
      </c>
      <c r="F67" s="29">
        <f t="array" ref="F67">IF(
    VLOOKUP(
        $A67,
        _xlfn._xlws.FILTER(
            INDIRECT("'"&amp;F$40&amp;"'!A2:E1000"), (INDIRECT("'"&amp;F$40&amp;"'!B2:B1000")=$B67) * (INDIRECT("'"&amp;F$40&amp;"'!C2:C1000")=$C67)
        ),
        5,
        FALSE
    )=0,
    "",
    VLOOKUP(
        $A67,
        _xlfn._xlws.FILTER(
            INDIRECT("'"&amp;F$40&amp;"'!A2:E1000"), (INDIRECT("'"&amp;F$40&amp;"'!B2:B1000")=$B67) * (INDIRECT("'"&amp;F$40&amp;"'!C2:C1000")=$C67)
        ),
        5,
        FALSE
    )
)</f>
        <v/>
      </c>
    </row>
    <row r="68"/>
    <row r="69" ht="15.75" customHeight="1">
      <c r="A69" s="39" t="inlineStr">
        <is>
          <t>Regional</t>
        </is>
      </c>
      <c r="B69" s="27" t="inlineStr">
        <is>
          <t>Municípios</t>
        </is>
      </c>
      <c r="C69" s="27" t="inlineStr">
        <is>
          <t>UVR</t>
        </is>
      </c>
      <c r="D69" s="27" t="inlineStr">
        <is>
          <t>Form 1 - Município</t>
        </is>
      </c>
      <c r="E69" s="27" t="inlineStr">
        <is>
          <t>Form 2 - UVR</t>
        </is>
      </c>
      <c r="F69" s="27" t="inlineStr">
        <is>
          <t>Form 3 - Empreendimento</t>
        </is>
      </c>
    </row>
    <row r="70">
      <c r="A70" s="40" t="inlineStr">
        <is>
          <t>Valquiria</t>
        </is>
      </c>
      <c r="B70" s="7" t="inlineStr">
        <is>
          <t>Capitão Leonidas Marques</t>
        </is>
      </c>
      <c r="C70" s="7" t="n">
        <v>1</v>
      </c>
      <c r="D70" s="29">
        <f t="array" ref="D70">IF(
    VLOOKUP(
        $A70,
        _xlfn._xlws.FILTER(
            INDIRECT("'"&amp;D$1&amp;"'!A2:E1000"), (INDIRECT("'"&amp;D$1&amp;"'!B2:B1000")=$B70) * (INDIRECT("'"&amp;D$1&amp;"'!C2:C1000")=$C70)
        ),
        5,
        FALSE
    )=0,
    "",
    VLOOKUP(
        $A70,
        _xlfn._xlws.FILTER(
            INDIRECT("'"&amp;D$1&amp;"'!A2:E1000"), (INDIRECT("'"&amp;D$1&amp;"'!B2:B1000")=$B70) * (INDIRECT("'"&amp;D$1&amp;"'!C2:C1000")=$C70)
        ),
        5,
        FALSE
    )
)</f>
        <v/>
      </c>
      <c r="E70" s="29">
        <f t="array" ref="E70">IF(
    VLOOKUP(
        $A70,
        _xlfn._xlws.FILTER(
            INDIRECT("'"&amp;E$1&amp;"'!A2:E1000"), (INDIRECT("'"&amp;E$1&amp;"'!B2:B1000")=$B70) * (INDIRECT("'"&amp;E$1&amp;"'!C2:C1000")=$C70)
        ),
        5,
        FALSE
    )=0,
    "",
    VLOOKUP(
        $A70,
        _xlfn._xlws.FILTER(
            INDIRECT("'"&amp;E$1&amp;"'!A2:E1000"), (INDIRECT("'"&amp;E$1&amp;"'!B2:B1000")=$B70) * (INDIRECT("'"&amp;E$1&amp;"'!C2:C1000")=$C70)
        ),
        5,
        FALSE
    )
)</f>
        <v/>
      </c>
      <c r="F70" s="29">
        <f t="array" ref="F70">IF(
    VLOOKUP(
        $A70,
        _xlfn._xlws.FILTER(
            INDIRECT("'"&amp;F$1&amp;"'!A2:E1000"), (INDIRECT("'"&amp;F$1&amp;"'!B2:B1000")=$B70) * (INDIRECT("'"&amp;F$1&amp;"'!C2:C1000")=$C70)
        ),
        5,
        FALSE
    )=0,
    "",
    VLOOKUP(
        $A70,
        _xlfn._xlws.FILTER(
            INDIRECT("'"&amp;F$1&amp;"'!A2:E1000"), (INDIRECT("'"&amp;F$1&amp;"'!B2:B1000")=$B70) * (INDIRECT("'"&amp;F$1&amp;"'!C2:C1000")=$C70)
        ),
        5,
        FALSE
    )
)</f>
        <v/>
      </c>
    </row>
    <row r="71">
      <c r="A71" s="40" t="inlineStr">
        <is>
          <t>Valquiria</t>
        </is>
      </c>
      <c r="B71" s="7" t="inlineStr">
        <is>
          <t>Cascavel</t>
        </is>
      </c>
      <c r="C71" s="7" t="n">
        <v>1</v>
      </c>
      <c r="D71" s="29">
        <f t="array" ref="D71">IF(
    VLOOKUP(
        $A71,
        _xlfn._xlws.FILTER(
            INDIRECT("'"&amp;D$1&amp;"'!A2:E1000"), (INDIRECT("'"&amp;D$1&amp;"'!B2:B1000")=$B71) * (INDIRECT("'"&amp;D$1&amp;"'!C2:C1000")=$C71)
        ),
        5,
        FALSE
    )=0,
    "",
    VLOOKUP(
        $A71,
        _xlfn._xlws.FILTER(
            INDIRECT("'"&amp;D$1&amp;"'!A2:E1000"), (INDIRECT("'"&amp;D$1&amp;"'!B2:B1000")=$B71) * (INDIRECT("'"&amp;D$1&amp;"'!C2:C1000")=$C71)
        ),
        5,
        FALSE
    )
)</f>
        <v/>
      </c>
      <c r="E71" s="29">
        <f t="array" ref="E71">IF(
    VLOOKUP(
        $A71,
        _xlfn._xlws.FILTER(
            INDIRECT("'"&amp;E$1&amp;"'!A2:E1000"), (INDIRECT("'"&amp;E$1&amp;"'!B2:B1000")=$B71) * (INDIRECT("'"&amp;E$1&amp;"'!C2:C1000")=$C71)
        ),
        5,
        FALSE
    )=0,
    "",
    VLOOKUP(
        $A71,
        _xlfn._xlws.FILTER(
            INDIRECT("'"&amp;E$1&amp;"'!A2:E1000"), (INDIRECT("'"&amp;E$1&amp;"'!B2:B1000")=$B71) * (INDIRECT("'"&amp;E$1&amp;"'!C2:C1000")=$C71)
        ),
        5,
        FALSE
    )
)</f>
        <v/>
      </c>
      <c r="F71" s="29">
        <f t="array" ref="F71">IF(
    VLOOKUP(
        $A71,
        _xlfn._xlws.FILTER(
            INDIRECT("'"&amp;F$1&amp;"'!A2:E1000"), (INDIRECT("'"&amp;F$1&amp;"'!B2:B1000")=$B71) * (INDIRECT("'"&amp;F$1&amp;"'!C2:C1000")=$C71)
        ),
        5,
        FALSE
    )=0,
    "",
    VLOOKUP(
        $A71,
        _xlfn._xlws.FILTER(
            INDIRECT("'"&amp;F$1&amp;"'!A2:E1000"), (INDIRECT("'"&amp;F$1&amp;"'!B2:B1000")=$B71) * (INDIRECT("'"&amp;F$1&amp;"'!C2:C1000")=$C71)
        ),
        5,
        FALSE
    )
)</f>
        <v/>
      </c>
    </row>
    <row r="72">
      <c r="A72" s="40" t="inlineStr">
        <is>
          <t>Valquiria</t>
        </is>
      </c>
      <c r="B72" s="7" t="inlineStr">
        <is>
          <t>Cascavel</t>
        </is>
      </c>
      <c r="C72" s="7" t="n">
        <v>2</v>
      </c>
      <c r="D72" s="29">
        <f t="array" ref="D72">IF(
    VLOOKUP(
        $A72,
        _xlfn._xlws.FILTER(
            INDIRECT("'"&amp;D$1&amp;"'!A2:E1000"), (INDIRECT("'"&amp;D$1&amp;"'!B2:B1000")=$B72) * (INDIRECT("'"&amp;D$1&amp;"'!C2:C1000")=$C72)
        ),
        5,
        FALSE
    )=0,
    "",
    VLOOKUP(
        $A72,
        _xlfn._xlws.FILTER(
            INDIRECT("'"&amp;D$1&amp;"'!A2:E1000"), (INDIRECT("'"&amp;D$1&amp;"'!B2:B1000")=$B72) * (INDIRECT("'"&amp;D$1&amp;"'!C2:C1000")=$C72)
        ),
        5,
        FALSE
    )
)</f>
        <v/>
      </c>
      <c r="E72" s="29">
        <f t="array" ref="E72">IF(
    VLOOKUP(
        $A72,
        _xlfn._xlws.FILTER(
            INDIRECT("'"&amp;E$1&amp;"'!A2:E1000"), (INDIRECT("'"&amp;E$1&amp;"'!B2:B1000")=$B72) * (INDIRECT("'"&amp;E$1&amp;"'!C2:C1000")=$C72)
        ),
        5,
        FALSE
    )=0,
    "",
    VLOOKUP(
        $A72,
        _xlfn._xlws.FILTER(
            INDIRECT("'"&amp;E$1&amp;"'!A2:E1000"), (INDIRECT("'"&amp;E$1&amp;"'!B2:B1000")=$B72) * (INDIRECT("'"&amp;E$1&amp;"'!C2:C1000")=$C72)
        ),
        5,
        FALSE
    )
)</f>
        <v/>
      </c>
      <c r="F72" s="29">
        <f t="array" ref="F72">IF(
    VLOOKUP(
        $A72,
        _xlfn._xlws.FILTER(
            INDIRECT("'"&amp;F$1&amp;"'!A2:E1000"), (INDIRECT("'"&amp;F$1&amp;"'!B2:B1000")=$B72) * (INDIRECT("'"&amp;F$1&amp;"'!C2:C1000")=$C72)
        ),
        5,
        FALSE
    )=0,
    "",
    VLOOKUP(
        $A72,
        _xlfn._xlws.FILTER(
            INDIRECT("'"&amp;F$1&amp;"'!A2:E1000"), (INDIRECT("'"&amp;F$1&amp;"'!B2:B1000")=$B72) * (INDIRECT("'"&amp;F$1&amp;"'!C2:C1000")=$C72)
        ),
        5,
        FALSE
    )
)</f>
        <v/>
      </c>
    </row>
    <row r="73">
      <c r="A73" s="40" t="inlineStr">
        <is>
          <t>Valquiria</t>
        </is>
      </c>
      <c r="B73" s="7" t="inlineStr">
        <is>
          <t>Cascavel</t>
        </is>
      </c>
      <c r="C73" s="7" t="n">
        <v>3</v>
      </c>
      <c r="D73" s="29">
        <f t="array" ref="D73">IF(
    VLOOKUP(
        $A73,
        _xlfn._xlws.FILTER(
            INDIRECT("'"&amp;D$1&amp;"'!A2:E1000"), (INDIRECT("'"&amp;D$1&amp;"'!B2:B1000")=$B73) * (INDIRECT("'"&amp;D$1&amp;"'!C2:C1000")=$C73)
        ),
        5,
        FALSE
    )=0,
    "",
    VLOOKUP(
        $A73,
        _xlfn._xlws.FILTER(
            INDIRECT("'"&amp;D$1&amp;"'!A2:E1000"), (INDIRECT("'"&amp;D$1&amp;"'!B2:B1000")=$B73) * (INDIRECT("'"&amp;D$1&amp;"'!C2:C1000")=$C73)
        ),
        5,
        FALSE
    )
)</f>
        <v/>
      </c>
      <c r="E73" s="29">
        <f t="array" ref="E73">IF(
    VLOOKUP(
        $A73,
        _xlfn._xlws.FILTER(
            INDIRECT("'"&amp;E$1&amp;"'!A2:E1000"), (INDIRECT("'"&amp;E$1&amp;"'!B2:B1000")=$B73) * (INDIRECT("'"&amp;E$1&amp;"'!C2:C1000")=$C73)
        ),
        5,
        FALSE
    )=0,
    "",
    VLOOKUP(
        $A73,
        _xlfn._xlws.FILTER(
            INDIRECT("'"&amp;E$1&amp;"'!A2:E1000"), (INDIRECT("'"&amp;E$1&amp;"'!B2:B1000")=$B73) * (INDIRECT("'"&amp;E$1&amp;"'!C2:C1000")=$C73)
        ),
        5,
        FALSE
    )
)</f>
        <v/>
      </c>
      <c r="F73" s="29">
        <f t="array" ref="F73">IF(
    VLOOKUP(
        $A73,
        _xlfn._xlws.FILTER(
            INDIRECT("'"&amp;F$1&amp;"'!A2:E1000"), (INDIRECT("'"&amp;F$1&amp;"'!B2:B1000")=$B73) * (INDIRECT("'"&amp;F$1&amp;"'!C2:C1000")=$C73)
        ),
        5,
        FALSE
    )=0,
    "",
    VLOOKUP(
        $A73,
        _xlfn._xlws.FILTER(
            INDIRECT("'"&amp;F$1&amp;"'!A2:E1000"), (INDIRECT("'"&amp;F$1&amp;"'!B2:B1000")=$B73) * (INDIRECT("'"&amp;F$1&amp;"'!C2:C1000")=$C73)
        ),
        5,
        FALSE
    )
)</f>
        <v/>
      </c>
    </row>
    <row r="74">
      <c r="A74" s="40" t="inlineStr">
        <is>
          <t>Valquiria</t>
        </is>
      </c>
      <c r="B74" s="7" t="inlineStr">
        <is>
          <t>Cascavel</t>
        </is>
      </c>
      <c r="C74" s="7" t="n">
        <v>4</v>
      </c>
      <c r="D74" s="29">
        <f t="array" ref="D74">IF(
    VLOOKUP(
        $A74,
        _xlfn._xlws.FILTER(
            INDIRECT("'"&amp;D$1&amp;"'!A2:E1000"), (INDIRECT("'"&amp;D$1&amp;"'!B2:B1000")=$B74) * (INDIRECT("'"&amp;D$1&amp;"'!C2:C1000")=$C74)
        ),
        5,
        FALSE
    )=0,
    "",
    VLOOKUP(
        $A74,
        _xlfn._xlws.FILTER(
            INDIRECT("'"&amp;D$1&amp;"'!A2:E1000"), (INDIRECT("'"&amp;D$1&amp;"'!B2:B1000")=$B74) * (INDIRECT("'"&amp;D$1&amp;"'!C2:C1000")=$C74)
        ),
        5,
        FALSE
    )
)</f>
        <v/>
      </c>
      <c r="E74" s="29">
        <f t="array" ref="E74">IF(
    VLOOKUP(
        $A74,
        _xlfn._xlws.FILTER(
            INDIRECT("'"&amp;E$1&amp;"'!A2:E1000"), (INDIRECT("'"&amp;E$1&amp;"'!B2:B1000")=$B74) * (INDIRECT("'"&amp;E$1&amp;"'!C2:C1000")=$C74)
        ),
        5,
        FALSE
    )=0,
    "",
    VLOOKUP(
        $A74,
        _xlfn._xlws.FILTER(
            INDIRECT("'"&amp;E$1&amp;"'!A2:E1000"), (INDIRECT("'"&amp;E$1&amp;"'!B2:B1000")=$B74) * (INDIRECT("'"&amp;E$1&amp;"'!C2:C1000")=$C74)
        ),
        5,
        FALSE
    )
)</f>
        <v/>
      </c>
      <c r="F74" s="29">
        <f t="array" ref="F74">IF(
    VLOOKUP(
        $A74,
        _xlfn._xlws.FILTER(
            INDIRECT("'"&amp;F$1&amp;"'!A2:E1000"), (INDIRECT("'"&amp;F$1&amp;"'!B2:B1000")=$B74) * (INDIRECT("'"&amp;F$1&amp;"'!C2:C1000")=$C74)
        ),
        5,
        FALSE
    )=0,
    "",
    VLOOKUP(
        $A74,
        _xlfn._xlws.FILTER(
            INDIRECT("'"&amp;F$1&amp;"'!A2:E1000"), (INDIRECT("'"&amp;F$1&amp;"'!B2:B1000")=$B74) * (INDIRECT("'"&amp;F$1&amp;"'!C2:C1000")=$C74)
        ),
        5,
        FALSE
    )
)</f>
        <v/>
      </c>
    </row>
    <row r="75">
      <c r="A75" s="40" t="inlineStr">
        <is>
          <t>Valquiria</t>
        </is>
      </c>
      <c r="B75" s="7" t="inlineStr">
        <is>
          <t>Cascavel</t>
        </is>
      </c>
      <c r="C75" s="7" t="n">
        <v>5</v>
      </c>
      <c r="D75" s="29">
        <f t="array" ref="D75">IF(
    VLOOKUP(
        $A75,
        _xlfn._xlws.FILTER(
            INDIRECT("'"&amp;D$1&amp;"'!A2:E1000"), (INDIRECT("'"&amp;D$1&amp;"'!B2:B1000")=$B75) * (INDIRECT("'"&amp;D$1&amp;"'!C2:C1000")=$C75)
        ),
        5,
        FALSE
    )=0,
    "",
    VLOOKUP(
        $A75,
        _xlfn._xlws.FILTER(
            INDIRECT("'"&amp;D$1&amp;"'!A2:E1000"), (INDIRECT("'"&amp;D$1&amp;"'!B2:B1000")=$B75) * (INDIRECT("'"&amp;D$1&amp;"'!C2:C1000")=$C75)
        ),
        5,
        FALSE
    )
)</f>
        <v/>
      </c>
      <c r="E75" s="29">
        <f t="array" ref="E75">IF(
    VLOOKUP(
        $A75,
        _xlfn._xlws.FILTER(
            INDIRECT("'"&amp;E$1&amp;"'!A2:E1000"), (INDIRECT("'"&amp;E$1&amp;"'!B2:B1000")=$B75) * (INDIRECT("'"&amp;E$1&amp;"'!C2:C1000")=$C75)
        ),
        5,
        FALSE
    )=0,
    "",
    VLOOKUP(
        $A75,
        _xlfn._xlws.FILTER(
            INDIRECT("'"&amp;E$1&amp;"'!A2:E1000"), (INDIRECT("'"&amp;E$1&amp;"'!B2:B1000")=$B75) * (INDIRECT("'"&amp;E$1&amp;"'!C2:C1000")=$C75)
        ),
        5,
        FALSE
    )
)</f>
        <v/>
      </c>
      <c r="F75" s="29">
        <f t="array" ref="F75">IF(
    VLOOKUP(
        $A75,
        _xlfn._xlws.FILTER(
            INDIRECT("'"&amp;F$1&amp;"'!A2:E1000"), (INDIRECT("'"&amp;F$1&amp;"'!B2:B1000")=$B75) * (INDIRECT("'"&amp;F$1&amp;"'!C2:C1000")=$C75)
        ),
        5,
        FALSE
    )=0,
    "",
    VLOOKUP(
        $A75,
        _xlfn._xlws.FILTER(
            INDIRECT("'"&amp;F$1&amp;"'!A2:E1000"), (INDIRECT("'"&amp;F$1&amp;"'!B2:B1000")=$B75) * (INDIRECT("'"&amp;F$1&amp;"'!C2:C1000")=$C75)
        ),
        5,
        FALSE
    )
)</f>
        <v/>
      </c>
    </row>
    <row r="76">
      <c r="A76" s="40" t="inlineStr">
        <is>
          <t>Valquiria</t>
        </is>
      </c>
      <c r="B76" s="7" t="inlineStr">
        <is>
          <t>Cascavel</t>
        </is>
      </c>
      <c r="C76" s="7" t="n">
        <v>6</v>
      </c>
      <c r="D76" s="29">
        <f t="array" ref="D76">IF(
    VLOOKUP(
        $A76,
        _xlfn._xlws.FILTER(
            INDIRECT("'"&amp;D$1&amp;"'!A2:E1000"), (INDIRECT("'"&amp;D$1&amp;"'!B2:B1000")=$B76) * (INDIRECT("'"&amp;D$1&amp;"'!C2:C1000")=$C76)
        ),
        5,
        FALSE
    )=0,
    "",
    VLOOKUP(
        $A76,
        _xlfn._xlws.FILTER(
            INDIRECT("'"&amp;D$1&amp;"'!A2:E1000"), (INDIRECT("'"&amp;D$1&amp;"'!B2:B1000")=$B76) * (INDIRECT("'"&amp;D$1&amp;"'!C2:C1000")=$C76)
        ),
        5,
        FALSE
    )
)</f>
        <v/>
      </c>
      <c r="E76" s="29">
        <f t="array" ref="E76">IF(
    VLOOKUP(
        $A76,
        _xlfn._xlws.FILTER(
            INDIRECT("'"&amp;E$1&amp;"'!A2:E1000"), (INDIRECT("'"&amp;E$1&amp;"'!B2:B1000")=$B76) * (INDIRECT("'"&amp;E$1&amp;"'!C2:C1000")=$C76)
        ),
        5,
        FALSE
    )=0,
    "",
    VLOOKUP(
        $A76,
        _xlfn._xlws.FILTER(
            INDIRECT("'"&amp;E$1&amp;"'!A2:E1000"), (INDIRECT("'"&amp;E$1&amp;"'!B2:B1000")=$B76) * (INDIRECT("'"&amp;E$1&amp;"'!C2:C1000")=$C76)
        ),
        5,
        FALSE
    )
)</f>
        <v/>
      </c>
      <c r="F76" s="29">
        <f t="array" ref="F76">IF(
    VLOOKUP(
        $A76,
        _xlfn._xlws.FILTER(
            INDIRECT("'"&amp;F$1&amp;"'!A2:E1000"), (INDIRECT("'"&amp;F$1&amp;"'!B2:B1000")=$B76) * (INDIRECT("'"&amp;F$1&amp;"'!C2:C1000")=$C76)
        ),
        5,
        FALSE
    )=0,
    "",
    VLOOKUP(
        $A76,
        _xlfn._xlws.FILTER(
            INDIRECT("'"&amp;F$1&amp;"'!A2:E1000"), (INDIRECT("'"&amp;F$1&amp;"'!B2:B1000")=$B76) * (INDIRECT("'"&amp;F$1&amp;"'!C2:C1000")=$C76)
        ),
        5,
        FALSE
    )
)</f>
        <v/>
      </c>
    </row>
    <row r="77">
      <c r="A77" s="40" t="inlineStr">
        <is>
          <t>Valquiria</t>
        </is>
      </c>
      <c r="B77" s="7" t="inlineStr">
        <is>
          <t>Céu Azul</t>
        </is>
      </c>
      <c r="C77" s="7" t="n">
        <v>1</v>
      </c>
      <c r="D77" s="29">
        <f t="array" ref="D77">IF(
    VLOOKUP(
        $A77,
        _xlfn._xlws.FILTER(
            INDIRECT("'"&amp;D$1&amp;"'!A2:E1000"), (INDIRECT("'"&amp;D$1&amp;"'!B2:B1000")=$B77) * (INDIRECT("'"&amp;D$1&amp;"'!C2:C1000")=$C77)
        ),
        5,
        FALSE
    )=0,
    "",
    VLOOKUP(
        $A77,
        _xlfn._xlws.FILTER(
            INDIRECT("'"&amp;D$1&amp;"'!A2:E1000"), (INDIRECT("'"&amp;D$1&amp;"'!B2:B1000")=$B77) * (INDIRECT("'"&amp;D$1&amp;"'!C2:C1000")=$C77)
        ),
        5,
        FALSE
    )
)</f>
        <v/>
      </c>
      <c r="E77" s="29">
        <f t="array" ref="E77">IF(
    VLOOKUP(
        $A77,
        _xlfn._xlws.FILTER(
            INDIRECT("'"&amp;E$1&amp;"'!A2:E1000"), (INDIRECT("'"&amp;E$1&amp;"'!B2:B1000")=$B77) * (INDIRECT("'"&amp;E$1&amp;"'!C2:C1000")=$C77)
        ),
        5,
        FALSE
    )=0,
    "",
    VLOOKUP(
        $A77,
        _xlfn._xlws.FILTER(
            INDIRECT("'"&amp;E$1&amp;"'!A2:E1000"), (INDIRECT("'"&amp;E$1&amp;"'!B2:B1000")=$B77) * (INDIRECT("'"&amp;E$1&amp;"'!C2:C1000")=$C77)
        ),
        5,
        FALSE
    )
)</f>
        <v/>
      </c>
      <c r="F77" s="29">
        <f t="array" ref="F77">IF(
    VLOOKUP(
        $A77,
        _xlfn._xlws.FILTER(
            INDIRECT("'"&amp;F$1&amp;"'!A2:E1000"), (INDIRECT("'"&amp;F$1&amp;"'!B2:B1000")=$B77) * (INDIRECT("'"&amp;F$1&amp;"'!C2:C1000")=$C77)
        ),
        5,
        FALSE
    )=0,
    "",
    VLOOKUP(
        $A77,
        _xlfn._xlws.FILTER(
            INDIRECT("'"&amp;F$1&amp;"'!A2:E1000"), (INDIRECT("'"&amp;F$1&amp;"'!B2:B1000")=$B77) * (INDIRECT("'"&amp;F$1&amp;"'!C2:C1000")=$C77)
        ),
        5,
        FALSE
    )
)</f>
        <v/>
      </c>
    </row>
    <row r="78">
      <c r="A78" s="40" t="inlineStr">
        <is>
          <t>Valquiria</t>
        </is>
      </c>
      <c r="B78" s="7" t="inlineStr">
        <is>
          <t>Lindoeste</t>
        </is>
      </c>
      <c r="C78" s="7" t="n">
        <v>1</v>
      </c>
      <c r="D78" s="29">
        <f t="array" ref="D78">IF(
    VLOOKUP(
        $A78,
        _xlfn._xlws.FILTER(
            INDIRECT("'"&amp;D$1&amp;"'!A2:E1000"), (INDIRECT("'"&amp;D$1&amp;"'!B2:B1000")=$B78) * (INDIRECT("'"&amp;D$1&amp;"'!C2:C1000")=$C78)
        ),
        5,
        FALSE
    )=0,
    "",
    VLOOKUP(
        $A78,
        _xlfn._xlws.FILTER(
            INDIRECT("'"&amp;D$1&amp;"'!A2:E1000"), (INDIRECT("'"&amp;D$1&amp;"'!B2:B1000")=$B78) * (INDIRECT("'"&amp;D$1&amp;"'!C2:C1000")=$C78)
        ),
        5,
        FALSE
    )
)</f>
        <v/>
      </c>
      <c r="E78" s="29">
        <f t="array" ref="E78">IF(
    VLOOKUP(
        $A78,
        _xlfn._xlws.FILTER(
            INDIRECT("'"&amp;E$1&amp;"'!A2:E1000"), (INDIRECT("'"&amp;E$1&amp;"'!B2:B1000")=$B78) * (INDIRECT("'"&amp;E$1&amp;"'!C2:C1000")=$C78)
        ),
        5,
        FALSE
    )=0,
    "",
    VLOOKUP(
        $A78,
        _xlfn._xlws.FILTER(
            INDIRECT("'"&amp;E$1&amp;"'!A2:E1000"), (INDIRECT("'"&amp;E$1&amp;"'!B2:B1000")=$B78) * (INDIRECT("'"&amp;E$1&amp;"'!C2:C1000")=$C78)
        ),
        5,
        FALSE
    )
)</f>
        <v/>
      </c>
      <c r="F78" s="29">
        <f t="array" ref="F78">IF(
    VLOOKUP(
        $A78,
        _xlfn._xlws.FILTER(
            INDIRECT("'"&amp;F$1&amp;"'!A2:E1000"), (INDIRECT("'"&amp;F$1&amp;"'!B2:B1000")=$B78) * (INDIRECT("'"&amp;F$1&amp;"'!C2:C1000")=$C78)
        ),
        5,
        FALSE
    )=0,
    "",
    VLOOKUP(
        $A78,
        _xlfn._xlws.FILTER(
            INDIRECT("'"&amp;F$1&amp;"'!A2:E1000"), (INDIRECT("'"&amp;F$1&amp;"'!B2:B1000")=$B78) * (INDIRECT("'"&amp;F$1&amp;"'!C2:C1000")=$C78)
        ),
        5,
        FALSE
    )
)</f>
        <v/>
      </c>
    </row>
    <row r="79">
      <c r="A79" s="40" t="inlineStr">
        <is>
          <t>Valquiria</t>
        </is>
      </c>
      <c r="B79" s="7" t="inlineStr">
        <is>
          <t>Santa Lúcia</t>
        </is>
      </c>
      <c r="C79" s="7" t="n">
        <v>1</v>
      </c>
      <c r="D79" s="29">
        <f t="array" ref="D79">IF(
    VLOOKUP(
        $A79,
        _xlfn._xlws.FILTER(
            INDIRECT("'"&amp;D$1&amp;"'!A2:E1000"), (INDIRECT("'"&amp;D$1&amp;"'!B2:B1000")=$B79) * (INDIRECT("'"&amp;D$1&amp;"'!C2:C1000")=$C79)
        ),
        5,
        FALSE
    )=0,
    "",
    VLOOKUP(
        $A79,
        _xlfn._xlws.FILTER(
            INDIRECT("'"&amp;D$1&amp;"'!A2:E1000"), (INDIRECT("'"&amp;D$1&amp;"'!B2:B1000")=$B79) * (INDIRECT("'"&amp;D$1&amp;"'!C2:C1000")=$C79)
        ),
        5,
        FALSE
    )
)</f>
        <v/>
      </c>
      <c r="E79" s="29">
        <f t="array" ref="E79">IF(
    VLOOKUP(
        $A79,
        _xlfn._xlws.FILTER(
            INDIRECT("'"&amp;E$1&amp;"'!A2:E1000"), (INDIRECT("'"&amp;E$1&amp;"'!B2:B1000")=$B79) * (INDIRECT("'"&amp;E$1&amp;"'!C2:C1000")=$C79)
        ),
        5,
        FALSE
    )=0,
    "",
    VLOOKUP(
        $A79,
        _xlfn._xlws.FILTER(
            INDIRECT("'"&amp;E$1&amp;"'!A2:E1000"), (INDIRECT("'"&amp;E$1&amp;"'!B2:B1000")=$B79) * (INDIRECT("'"&amp;E$1&amp;"'!C2:C1000")=$C79)
        ),
        5,
        FALSE
    )
)</f>
        <v/>
      </c>
      <c r="F79" s="29">
        <f t="array" ref="F79">IF(
    VLOOKUP(
        $A79,
        _xlfn._xlws.FILTER(
            INDIRECT("'"&amp;F$1&amp;"'!A2:E1000"), (INDIRECT("'"&amp;F$1&amp;"'!B2:B1000")=$B79) * (INDIRECT("'"&amp;F$1&amp;"'!C2:C1000")=$C79)
        ),
        5,
        FALSE
    )=0,
    "",
    VLOOKUP(
        $A79,
        _xlfn._xlws.FILTER(
            INDIRECT("'"&amp;F$1&amp;"'!A2:E1000"), (INDIRECT("'"&amp;F$1&amp;"'!B2:B1000")=$B79) * (INDIRECT("'"&amp;F$1&amp;"'!C2:C1000")=$C79)
        ),
        5,
        FALSE
    )
)</f>
        <v/>
      </c>
    </row>
    <row r="80">
      <c r="A80" s="40" t="inlineStr">
        <is>
          <t>Valquiria</t>
        </is>
      </c>
      <c r="B80" s="7" t="inlineStr">
        <is>
          <t>Santa Tereza do Oeste</t>
        </is>
      </c>
      <c r="C80" s="7" t="n">
        <v>1</v>
      </c>
      <c r="D80" s="29">
        <f t="array" ref="D80">IF(
    VLOOKUP(
        $A80,
        _xlfn._xlws.FILTER(
            INDIRECT("'"&amp;D$1&amp;"'!A2:E1000"), (INDIRECT("'"&amp;D$1&amp;"'!B2:B1000")=$B80) * (INDIRECT("'"&amp;D$1&amp;"'!C2:C1000")=$C80)
        ),
        5,
        FALSE
    )=0,
    "",
    VLOOKUP(
        $A80,
        _xlfn._xlws.FILTER(
            INDIRECT("'"&amp;D$1&amp;"'!A2:E1000"), (INDIRECT("'"&amp;D$1&amp;"'!B2:B1000")=$B80) * (INDIRECT("'"&amp;D$1&amp;"'!C2:C1000")=$C80)
        ),
        5,
        FALSE
    )
)</f>
        <v/>
      </c>
      <c r="E80" s="29">
        <f t="array" ref="E80">IF(
    VLOOKUP(
        $A80,
        _xlfn._xlws.FILTER(
            INDIRECT("'"&amp;E$1&amp;"'!A2:E1000"), (INDIRECT("'"&amp;E$1&amp;"'!B2:B1000")=$B80) * (INDIRECT("'"&amp;E$1&amp;"'!C2:C1000")=$C80)
        ),
        5,
        FALSE
    )=0,
    "",
    VLOOKUP(
        $A80,
        _xlfn._xlws.FILTER(
            INDIRECT("'"&amp;E$1&amp;"'!A2:E1000"), (INDIRECT("'"&amp;E$1&amp;"'!B2:B1000")=$B80) * (INDIRECT("'"&amp;E$1&amp;"'!C2:C1000")=$C80)
        ),
        5,
        FALSE
    )
)</f>
        <v/>
      </c>
      <c r="F80" s="29">
        <f t="array" ref="F80">IF(
    VLOOKUP(
        $A80,
        _xlfn._xlws.FILTER(
            INDIRECT("'"&amp;F$1&amp;"'!A2:E1000"), (INDIRECT("'"&amp;F$1&amp;"'!B2:B1000")=$B80) * (INDIRECT("'"&amp;F$1&amp;"'!C2:C1000")=$C80)
        ),
        5,
        FALSE
    )=0,
    "",
    VLOOKUP(
        $A80,
        _xlfn._xlws.FILTER(
            INDIRECT("'"&amp;F$1&amp;"'!A2:E1000"), (INDIRECT("'"&amp;F$1&amp;"'!B2:B1000")=$B80) * (INDIRECT("'"&amp;F$1&amp;"'!C2:C1000")=$C80)
        ),
        5,
        FALSE
    )
)</f>
        <v/>
      </c>
    </row>
  </sheetData>
  <conditionalFormatting sqref="D2:F80">
    <cfRule type="cellIs" priority="22" operator="equal" dxfId="0">
      <formula>"Sem Técnico"</formula>
    </cfRule>
    <cfRule type="cellIs" priority="23" operator="equal" dxfId="1">
      <formula>"Outras Ocorrências"</formula>
    </cfRule>
    <cfRule type="cellIs" priority="19" operator="equal" dxfId="2">
      <formula>"Enviado"</formula>
    </cfRule>
    <cfRule type="cellIs" priority="20" operator="equal" dxfId="3">
      <formula>"Atrasado"</formula>
    </cfRule>
    <cfRule type="cellIs" priority="21" operator="equal" dxfId="4">
      <formula>"Duplicado"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2" customWidth="1" min="4" max="4"/>
    <col width="14" customWidth="1" min="5" max="5"/>
    <col width="27" customWidth="1" min="6" max="6"/>
    <col width="27" customWidth="1" min="7" max="7"/>
    <col width="337" customWidth="1" min="8" max="8"/>
    <col width="45" customWidth="1" min="9" max="9"/>
    <col width="25" customWidth="1" min="10" max="10"/>
    <col width="38" customWidth="1" min="11" max="11"/>
  </cols>
  <sheetData>
    <row r="1">
      <c r="A1" s="41" t="inlineStr">
        <is>
          <t>Regional</t>
        </is>
      </c>
      <c r="B1" s="41" t="inlineStr">
        <is>
          <t>Município</t>
        </is>
      </c>
      <c r="C1" s="41" t="inlineStr">
        <is>
          <t>UVR</t>
        </is>
      </c>
      <c r="D1" s="41" t="inlineStr">
        <is>
          <t>Técnico de UVR</t>
        </is>
      </c>
      <c r="E1" s="41" t="inlineStr">
        <is>
          <t>Situação</t>
        </is>
      </c>
      <c r="F1" s="41" t="inlineStr">
        <is>
          <t>Data de Envio</t>
        </is>
      </c>
      <c r="G1" s="41" t="inlineStr">
        <is>
          <t>Validado pelo Regional</t>
        </is>
      </c>
      <c r="H1" s="41" t="inlineStr">
        <is>
          <t>Observações</t>
        </is>
      </c>
      <c r="I1" s="41" t="inlineStr">
        <is>
          <t>Formulários para Deletar (ID)</t>
        </is>
      </c>
      <c r="J1" s="41" t="inlineStr">
        <is>
          <t>Validado Equip de TI</t>
        </is>
      </c>
      <c r="K1" s="41" t="inlineStr">
        <is>
          <t>Resposta Equipe de TI</t>
        </is>
      </c>
    </row>
    <row r="2">
      <c r="A2" s="42" t="inlineStr">
        <is>
          <t>Gabriel</t>
        </is>
      </c>
      <c r="B2" s="43" t="inlineStr">
        <is>
          <t>Altônia</t>
        </is>
      </c>
      <c r="C2" s="43" t="n">
        <v>1</v>
      </c>
      <c r="D2" s="43" t="inlineStr">
        <is>
          <t>Paula Tatiana Santana Vechi</t>
        </is>
      </c>
      <c r="E2" s="44" t="inlineStr">
        <is>
          <t>Enviado</t>
        </is>
      </c>
      <c r="F2" s="43" t="inlineStr">
        <is>
          <t>09/07/2025</t>
        </is>
      </c>
      <c r="G2" s="45" t="inlineStr">
        <is>
          <t>Sim</t>
        </is>
      </c>
      <c r="H2" s="43" t="inlineStr">
        <is>
          <t>correções em: Qual a despesa anual com os serviços de coleta (convencional, seletiva) no município? se não ok</t>
        </is>
      </c>
      <c r="I2" s="43" t="n"/>
      <c r="J2" s="43" t="inlineStr">
        <is>
          <t>Não</t>
        </is>
      </c>
      <c r="K2" s="43" t="n"/>
    </row>
    <row r="3">
      <c r="A3" s="46" t="inlineStr">
        <is>
          <t>Bianca</t>
        </is>
      </c>
      <c r="B3" s="43" t="inlineStr">
        <is>
          <t>Anahy</t>
        </is>
      </c>
      <c r="C3" s="43" t="n">
        <v>1</v>
      </c>
      <c r="D3" s="43" t="inlineStr">
        <is>
          <t>Willian de Oliveira Lino</t>
        </is>
      </c>
      <c r="E3" s="47" t="inlineStr">
        <is>
          <t>Atrasado</t>
        </is>
      </c>
      <c r="F3" s="43" t="n"/>
      <c r="G3" s="48" t="inlineStr">
        <is>
          <t>Não</t>
        </is>
      </c>
      <c r="H3" s="43" t="n"/>
      <c r="I3" s="43" t="n"/>
      <c r="J3" s="43" t="inlineStr">
        <is>
          <t>Não</t>
        </is>
      </c>
      <c r="K3" s="43" t="n"/>
    </row>
    <row r="4">
      <c r="A4" s="49" t="inlineStr">
        <is>
          <t>Gustavo</t>
        </is>
      </c>
      <c r="B4" s="43" t="inlineStr">
        <is>
          <t>Assis Chateaubriand</t>
        </is>
      </c>
      <c r="C4" s="43" t="n">
        <v>1</v>
      </c>
      <c r="D4" s="43" t="inlineStr">
        <is>
          <t>Gisele Cássia Tamparowsky de Oliveira</t>
        </is>
      </c>
      <c r="E4" s="44" t="inlineStr">
        <is>
          <t>Enviado</t>
        </is>
      </c>
      <c r="F4" s="43" t="inlineStr">
        <is>
          <t>09/07/2025</t>
        </is>
      </c>
      <c r="G4" s="45" t="inlineStr">
        <is>
          <t>Sim</t>
        </is>
      </c>
      <c r="H4" s="43" t="inlineStr">
        <is>
          <t>ok</t>
        </is>
      </c>
      <c r="I4" s="43" t="n"/>
      <c r="J4" s="43" t="inlineStr">
        <is>
          <t>Não</t>
        </is>
      </c>
      <c r="K4" s="43" t="n"/>
    </row>
    <row r="5">
      <c r="A5" s="46" t="inlineStr">
        <is>
          <t>Bianca</t>
        </is>
      </c>
      <c r="B5" s="43" t="inlineStr">
        <is>
          <t>Boa Vista da Aparecida</t>
        </is>
      </c>
      <c r="C5" s="43" t="n">
        <v>1</v>
      </c>
      <c r="D5" s="43" t="inlineStr">
        <is>
          <t>Marcos Gabriel Franciosi Borges</t>
        </is>
      </c>
      <c r="E5" s="44" t="inlineStr">
        <is>
          <t>Enviado</t>
        </is>
      </c>
      <c r="F5" s="43" t="inlineStr">
        <is>
          <t>21/03/2025</t>
        </is>
      </c>
      <c r="G5" s="45" t="inlineStr">
        <is>
          <t>Sim</t>
        </is>
      </c>
      <c r="H5" s="43" t="n"/>
      <c r="I5" s="43" t="n"/>
      <c r="J5" s="43" t="inlineStr">
        <is>
          <t>Não</t>
        </is>
      </c>
      <c r="K5" s="43" t="n"/>
    </row>
    <row r="6">
      <c r="A6" s="46" t="inlineStr">
        <is>
          <t>Bianca</t>
        </is>
      </c>
      <c r="B6" s="43" t="inlineStr">
        <is>
          <t>Braganey</t>
        </is>
      </c>
      <c r="C6" s="43" t="n">
        <v>1</v>
      </c>
      <c r="D6" s="43" t="inlineStr">
        <is>
          <t>Chayla Bianca Gazoli</t>
        </is>
      </c>
      <c r="E6" s="44" t="inlineStr">
        <is>
          <t>Enviado</t>
        </is>
      </c>
      <c r="F6" s="43" t="inlineStr">
        <is>
          <t>10/04/2025</t>
        </is>
      </c>
      <c r="G6" s="48" t="inlineStr">
        <is>
          <t>Não</t>
        </is>
      </c>
      <c r="H6" s="43" t="n"/>
      <c r="I6" s="43" t="n"/>
      <c r="J6" s="43" t="inlineStr">
        <is>
          <t>Não</t>
        </is>
      </c>
      <c r="K6" s="43" t="n"/>
    </row>
    <row r="7">
      <c r="A7" s="49" t="inlineStr">
        <is>
          <t>Gustavo</t>
        </is>
      </c>
      <c r="B7" s="43" t="inlineStr">
        <is>
          <t>Brasilândia do Sul</t>
        </is>
      </c>
      <c r="C7" s="43" t="n">
        <v>1</v>
      </c>
      <c r="D7" s="43" t="inlineStr">
        <is>
          <t>Solange Maria Masqueti</t>
        </is>
      </c>
      <c r="E7" s="44" t="inlineStr">
        <is>
          <t>Enviado</t>
        </is>
      </c>
      <c r="F7" s="43" t="inlineStr">
        <is>
          <t>20/03/2025</t>
        </is>
      </c>
      <c r="G7" s="45" t="inlineStr">
        <is>
          <t>Sim</t>
        </is>
      </c>
      <c r="H7" s="43" t="inlineStr">
        <is>
          <t>Preencher Qual a despesa anual com os serviços de coleta</t>
        </is>
      </c>
      <c r="I7" s="43" t="n"/>
      <c r="J7" s="43" t="inlineStr">
        <is>
          <t>Não</t>
        </is>
      </c>
      <c r="K7" s="43" t="n"/>
    </row>
    <row r="8">
      <c r="A8" s="49" t="inlineStr">
        <is>
          <t>Gustavo</t>
        </is>
      </c>
      <c r="B8" s="43" t="inlineStr">
        <is>
          <t>Cafelândia</t>
        </is>
      </c>
      <c r="C8" s="43" t="n">
        <v>1</v>
      </c>
      <c r="D8" s="43" t="inlineStr">
        <is>
          <t>Cristiane Petry Vieira</t>
        </is>
      </c>
      <c r="E8" s="44" t="inlineStr">
        <is>
          <t>Enviado</t>
        </is>
      </c>
      <c r="F8" s="43" t="inlineStr">
        <is>
          <t>20/03/2025</t>
        </is>
      </c>
      <c r="G8" s="48" t="inlineStr">
        <is>
          <t>Não</t>
        </is>
      </c>
      <c r="H8" s="43" t="inlineStr">
        <is>
          <t>09/04 - Dados incorretos de arrecadação e despesa - formulário aba 5 - informações financeiras do município</t>
        </is>
      </c>
      <c r="I8" s="43" t="n"/>
      <c r="J8" s="43" t="inlineStr">
        <is>
          <t>Não</t>
        </is>
      </c>
      <c r="K8" s="43" t="n"/>
    </row>
    <row r="9">
      <c r="A9" s="46" t="inlineStr">
        <is>
          <t>Bianca</t>
        </is>
      </c>
      <c r="B9" s="43" t="inlineStr">
        <is>
          <t>Campo Bonito</t>
        </is>
      </c>
      <c r="C9" s="43" t="n">
        <v>1</v>
      </c>
      <c r="D9" s="43" t="inlineStr">
        <is>
          <t>Diego Hemerich</t>
        </is>
      </c>
      <c r="E9" s="47" t="inlineStr">
        <is>
          <t>Atrasado</t>
        </is>
      </c>
      <c r="F9" s="43" t="n"/>
      <c r="G9" s="48" t="inlineStr">
        <is>
          <t>Não</t>
        </is>
      </c>
      <c r="H9" s="43" t="n"/>
      <c r="I9" s="43" t="n"/>
      <c r="J9" s="43" t="inlineStr">
        <is>
          <t>Não</t>
        </is>
      </c>
      <c r="K9" s="43" t="n"/>
    </row>
    <row r="10">
      <c r="A10" s="50" t="inlineStr">
        <is>
          <t>Valquiria</t>
        </is>
      </c>
      <c r="B10" s="43" t="inlineStr">
        <is>
          <t>Capitão Leonidas Marques</t>
        </is>
      </c>
      <c r="C10" s="43" t="n">
        <v>1</v>
      </c>
      <c r="D10" s="43" t="inlineStr">
        <is>
          <t>Tatiane Girardi</t>
        </is>
      </c>
      <c r="E10" s="44" t="inlineStr">
        <is>
          <t>Enviado</t>
        </is>
      </c>
      <c r="F10" s="43" t="inlineStr">
        <is>
          <t>06/03/2025</t>
        </is>
      </c>
      <c r="G10" s="45" t="inlineStr">
        <is>
          <t>Sim</t>
        </is>
      </c>
      <c r="H10" s="43" t="n"/>
      <c r="I10" s="43" t="n"/>
      <c r="J10" s="43" t="inlineStr">
        <is>
          <t>Não</t>
        </is>
      </c>
      <c r="K10" s="43" t="n"/>
    </row>
    <row r="11">
      <c r="A11" s="50" t="inlineStr">
        <is>
          <t>Valquiria</t>
        </is>
      </c>
      <c r="B11" s="43" t="inlineStr">
        <is>
          <t>Cascavel</t>
        </is>
      </c>
      <c r="C11" s="43" t="n">
        <v>1</v>
      </c>
      <c r="D11" s="43" t="inlineStr">
        <is>
          <t>Edson Batista de Castro</t>
        </is>
      </c>
      <c r="E11" s="51" t="inlineStr">
        <is>
          <t>Duplicado</t>
        </is>
      </c>
      <c r="F11" s="43" t="inlineStr">
        <is>
          <t>10/04/2025, 15/05/2025</t>
        </is>
      </c>
      <c r="G11" s="48" t="inlineStr">
        <is>
          <t>Não</t>
        </is>
      </c>
      <c r="H11" s="43" t="n"/>
      <c r="I11" s="43" t="n"/>
      <c r="J11" s="43" t="inlineStr">
        <is>
          <t>Não</t>
        </is>
      </c>
      <c r="K11" s="43" t="n"/>
    </row>
    <row r="12">
      <c r="A12" s="50" t="inlineStr">
        <is>
          <t>Valquiria</t>
        </is>
      </c>
      <c r="B12" s="43" t="inlineStr">
        <is>
          <t>Cascavel</t>
        </is>
      </c>
      <c r="C12" s="43" t="n">
        <v>2</v>
      </c>
      <c r="D12" s="43" t="inlineStr">
        <is>
          <t>Gabriela Fernanda Sandri</t>
        </is>
      </c>
      <c r="E12" s="51" t="inlineStr">
        <is>
          <t>Duplicado</t>
        </is>
      </c>
      <c r="F12" s="43" t="inlineStr">
        <is>
          <t>10/04/2025, 15/05/2025</t>
        </is>
      </c>
      <c r="G12" s="48" t="inlineStr">
        <is>
          <t>Não</t>
        </is>
      </c>
      <c r="H12" s="43" t="n"/>
      <c r="I12" s="43" t="n"/>
      <c r="J12" s="43" t="inlineStr">
        <is>
          <t>Não</t>
        </is>
      </c>
      <c r="K12" s="43" t="n"/>
    </row>
    <row r="13">
      <c r="A13" s="50" t="inlineStr">
        <is>
          <t>Valquiria</t>
        </is>
      </c>
      <c r="B13" s="43" t="inlineStr">
        <is>
          <t>Cascavel</t>
        </is>
      </c>
      <c r="C13" s="43" t="n">
        <v>3</v>
      </c>
      <c r="D13" s="43" t="inlineStr">
        <is>
          <t>Eduarda Rohden Donasolo</t>
        </is>
      </c>
      <c r="E13" s="51" t="inlineStr">
        <is>
          <t>Duplicado</t>
        </is>
      </c>
      <c r="F13" s="43" t="inlineStr">
        <is>
          <t>10/04/2025, 15/05/2025</t>
        </is>
      </c>
      <c r="G13" s="48" t="inlineStr">
        <is>
          <t>Não</t>
        </is>
      </c>
      <c r="H13" s="43" t="n"/>
      <c r="I13" s="43" t="n"/>
      <c r="J13" s="43" t="inlineStr">
        <is>
          <t>Não</t>
        </is>
      </c>
      <c r="K13" s="43" t="n"/>
    </row>
    <row r="14">
      <c r="A14" s="50" t="inlineStr">
        <is>
          <t>Valquiria</t>
        </is>
      </c>
      <c r="B14" s="43" t="inlineStr">
        <is>
          <t>Cascavel</t>
        </is>
      </c>
      <c r="C14" s="43" t="n">
        <v>4</v>
      </c>
      <c r="D14" s="43" t="inlineStr">
        <is>
          <t>Mauricio Pinto de Lima</t>
        </is>
      </c>
      <c r="E14" s="51" t="inlineStr">
        <is>
          <t>Duplicado</t>
        </is>
      </c>
      <c r="F14" s="43" t="inlineStr">
        <is>
          <t>10/04/2025, 15/05/2025</t>
        </is>
      </c>
      <c r="G14" s="48" t="inlineStr">
        <is>
          <t>Não</t>
        </is>
      </c>
      <c r="H14" s="43" t="n"/>
      <c r="I14" s="43" t="n"/>
      <c r="J14" s="43" t="inlineStr">
        <is>
          <t>Não</t>
        </is>
      </c>
      <c r="K14" s="43" t="n"/>
    </row>
    <row r="15">
      <c r="A15" s="50" t="inlineStr">
        <is>
          <t>Valquiria</t>
        </is>
      </c>
      <c r="B15" s="43" t="inlineStr">
        <is>
          <t>Cascavel</t>
        </is>
      </c>
      <c r="C15" s="43" t="n">
        <v>5</v>
      </c>
      <c r="D15" s="43" t="inlineStr">
        <is>
          <t xml:space="preserve">Débora Laize Lampert Gnass </t>
        </is>
      </c>
      <c r="E15" s="51" t="inlineStr">
        <is>
          <t>Duplicado</t>
        </is>
      </c>
      <c r="F15" s="43" t="inlineStr">
        <is>
          <t>10/04/2025, 15/05/2025</t>
        </is>
      </c>
      <c r="G15" s="48" t="inlineStr">
        <is>
          <t>Não</t>
        </is>
      </c>
      <c r="H15" s="43" t="n"/>
      <c r="I15" s="43" t="n"/>
      <c r="J15" s="43" t="inlineStr">
        <is>
          <t>Não</t>
        </is>
      </c>
      <c r="K15" s="43" t="n"/>
    </row>
    <row r="16">
      <c r="A16" s="50" t="inlineStr">
        <is>
          <t>Valquiria</t>
        </is>
      </c>
      <c r="B16" s="43" t="inlineStr">
        <is>
          <t>Cascavel</t>
        </is>
      </c>
      <c r="C16" s="43" t="n">
        <v>6</v>
      </c>
      <c r="D16" s="43" t="n"/>
      <c r="E16" s="51" t="inlineStr">
        <is>
          <t>Duplicado</t>
        </is>
      </c>
      <c r="F16" s="43" t="inlineStr">
        <is>
          <t>10/04/2025, 15/05/2025</t>
        </is>
      </c>
      <c r="G16" s="48" t="inlineStr">
        <is>
          <t>Não</t>
        </is>
      </c>
      <c r="H16" s="43" t="n"/>
      <c r="I16" s="43" t="n"/>
      <c r="J16" s="43" t="inlineStr">
        <is>
          <t>Não</t>
        </is>
      </c>
      <c r="K16" s="43" t="n"/>
    </row>
    <row r="17">
      <c r="A17" s="46" t="inlineStr">
        <is>
          <t>Bianca</t>
        </is>
      </c>
      <c r="B17" s="43" t="inlineStr">
        <is>
          <t>Catanduvas</t>
        </is>
      </c>
      <c r="C17" s="43" t="n">
        <v>1</v>
      </c>
      <c r="D17" s="43" t="inlineStr">
        <is>
          <t>Cristina Harumi Enokida</t>
        </is>
      </c>
      <c r="E17" s="44" t="inlineStr">
        <is>
          <t>Enviado</t>
        </is>
      </c>
      <c r="F17" s="43" t="inlineStr">
        <is>
          <t>12/08/2025</t>
        </is>
      </c>
      <c r="G17" s="48" t="inlineStr">
        <is>
          <t>Não</t>
        </is>
      </c>
      <c r="H17" s="43" t="inlineStr">
        <is>
          <t>Está com dificuldade de salvar o rascunho do formulário 1</t>
        </is>
      </c>
      <c r="I17" s="43" t="n"/>
      <c r="J17" s="43" t="inlineStr">
        <is>
          <t>Não</t>
        </is>
      </c>
      <c r="K17" s="43" t="n"/>
    </row>
    <row r="18">
      <c r="A18" s="50" t="inlineStr">
        <is>
          <t>Valquiria</t>
        </is>
      </c>
      <c r="B18" s="43" t="inlineStr">
        <is>
          <t>Céu Azul</t>
        </is>
      </c>
      <c r="C18" s="43" t="n">
        <v>1</v>
      </c>
      <c r="D18" s="43" t="inlineStr">
        <is>
          <t>Douglas de Mattia</t>
        </is>
      </c>
      <c r="E18" s="44" t="inlineStr">
        <is>
          <t>Enviado</t>
        </is>
      </c>
      <c r="F18" s="43" t="inlineStr">
        <is>
          <t>26/02/2025</t>
        </is>
      </c>
      <c r="G18" s="45" t="inlineStr">
        <is>
          <t>Sim</t>
        </is>
      </c>
      <c r="H18" s="43" t="n"/>
      <c r="I18" s="43" t="n"/>
      <c r="J18" s="43" t="inlineStr">
        <is>
          <t>Não</t>
        </is>
      </c>
      <c r="K18" s="43" t="n"/>
    </row>
    <row r="19">
      <c r="A19" s="46" t="inlineStr">
        <is>
          <t>Bianca</t>
        </is>
      </c>
      <c r="B19" s="43" t="inlineStr">
        <is>
          <t>Corbélia</t>
        </is>
      </c>
      <c r="C19" s="43" t="n">
        <v>1</v>
      </c>
      <c r="D19" s="43" t="inlineStr">
        <is>
          <t>Vanderson Pasetti</t>
        </is>
      </c>
      <c r="E19" s="47" t="inlineStr">
        <is>
          <t>Atrasado</t>
        </is>
      </c>
      <c r="F19" s="43" t="n"/>
      <c r="G19" s="48" t="inlineStr">
        <is>
          <t>Não</t>
        </is>
      </c>
      <c r="H19" s="43" t="n"/>
      <c r="I19" s="43" t="n"/>
      <c r="J19" s="43" t="inlineStr">
        <is>
          <t>Não</t>
        </is>
      </c>
      <c r="K19" s="43" t="n"/>
    </row>
    <row r="20">
      <c r="A20" s="52" t="inlineStr">
        <is>
          <t>Luana</t>
        </is>
      </c>
      <c r="B20" s="43" t="inlineStr">
        <is>
          <t>Diamante d'Oeste</t>
        </is>
      </c>
      <c r="C20" s="43" t="n">
        <v>1</v>
      </c>
      <c r="D20" s="43" t="inlineStr">
        <is>
          <t>Bruna Schneider Guimarães</t>
        </is>
      </c>
      <c r="E20" s="44" t="inlineStr">
        <is>
          <t>Enviado</t>
        </is>
      </c>
      <c r="F20" s="43" t="inlineStr">
        <is>
          <t>19/03/2025</t>
        </is>
      </c>
      <c r="G20" s="45" t="inlineStr">
        <is>
          <t>Sim</t>
        </is>
      </c>
      <c r="H20" s="43" t="n"/>
      <c r="I20" s="43" t="n"/>
      <c r="J20" s="43" t="inlineStr">
        <is>
          <t>Não</t>
        </is>
      </c>
      <c r="K20" s="43" t="n"/>
    </row>
    <row r="21">
      <c r="A21" s="46" t="inlineStr">
        <is>
          <t>Bianca</t>
        </is>
      </c>
      <c r="B21" s="43" t="inlineStr">
        <is>
          <t>Diamante do Sul</t>
        </is>
      </c>
      <c r="C21" s="43" t="n">
        <v>1</v>
      </c>
      <c r="D21" s="43" t="inlineStr">
        <is>
          <t>Keilla Avezedo</t>
        </is>
      </c>
      <c r="E21" s="44" t="inlineStr">
        <is>
          <t>Enviado</t>
        </is>
      </c>
      <c r="F21" s="43" t="inlineStr">
        <is>
          <t>10/03/2025</t>
        </is>
      </c>
      <c r="G21" s="45" t="inlineStr">
        <is>
          <t>Sim</t>
        </is>
      </c>
      <c r="H21" s="43" t="n"/>
      <c r="I21" s="43" t="n"/>
      <c r="J21" s="43" t="inlineStr">
        <is>
          <t>Não</t>
        </is>
      </c>
      <c r="K21" s="43" t="n"/>
    </row>
    <row r="22">
      <c r="A22" s="52" t="inlineStr">
        <is>
          <t>Luana</t>
        </is>
      </c>
      <c r="B22" s="43" t="inlineStr">
        <is>
          <t>Entre Rios do Oeste</t>
        </is>
      </c>
      <c r="C22" s="43" t="n">
        <v>1</v>
      </c>
      <c r="D22" s="43" t="inlineStr">
        <is>
          <t>Carmen Maria Stein Weiler</t>
        </is>
      </c>
      <c r="E22" s="44" t="inlineStr">
        <is>
          <t>Enviado</t>
        </is>
      </c>
      <c r="F22" s="43" t="inlineStr">
        <is>
          <t>05/08/2025</t>
        </is>
      </c>
      <c r="G22" s="48" t="inlineStr">
        <is>
          <t>Sim</t>
        </is>
      </c>
      <c r="H22" s="43" t="n"/>
      <c r="I22" s="43" t="n"/>
      <c r="J22" s="43" t="inlineStr">
        <is>
          <t>Não</t>
        </is>
      </c>
      <c r="K22" s="43" t="n"/>
    </row>
    <row r="23">
      <c r="A23" s="49" t="inlineStr">
        <is>
          <t>Gustavo</t>
        </is>
      </c>
      <c r="B23" s="43" t="inlineStr">
        <is>
          <t>Formosa do Oeste</t>
        </is>
      </c>
      <c r="C23" s="43" t="n">
        <v>1</v>
      </c>
      <c r="D23" s="43" t="inlineStr">
        <is>
          <t>Thiago Varaschim Cenci</t>
        </is>
      </c>
      <c r="E23" s="44" t="inlineStr">
        <is>
          <t>Enviado</t>
        </is>
      </c>
      <c r="F23" s="43" t="inlineStr">
        <is>
          <t>15/04/2025</t>
        </is>
      </c>
      <c r="G23" s="48" t="inlineStr">
        <is>
          <t>Sim</t>
        </is>
      </c>
      <c r="H23" s="43" t="n"/>
      <c r="I23" s="43" t="n"/>
      <c r="J23" s="43" t="inlineStr">
        <is>
          <t>Não</t>
        </is>
      </c>
      <c r="K23" s="43" t="n"/>
    </row>
    <row r="24">
      <c r="A24" s="53" t="inlineStr">
        <is>
          <t>Larissa</t>
        </is>
      </c>
      <c r="B24" s="43" t="inlineStr">
        <is>
          <t>Foz do Iguaçu</t>
        </is>
      </c>
      <c r="C24" s="43" t="n">
        <v>1</v>
      </c>
      <c r="D24" s="43" t="inlineStr">
        <is>
          <t>Éber Alexandre Nascimento Araújo</t>
        </is>
      </c>
      <c r="E24" s="44" t="inlineStr">
        <is>
          <t>Enviado</t>
        </is>
      </c>
      <c r="F24" s="43" t="inlineStr">
        <is>
          <t>08/08/2025</t>
        </is>
      </c>
      <c r="G24" s="45" t="inlineStr">
        <is>
          <t>Sim</t>
        </is>
      </c>
      <c r="H24" s="43" t="n"/>
      <c r="I24" s="43" t="n"/>
      <c r="J24" s="43" t="inlineStr">
        <is>
          <t>Não</t>
        </is>
      </c>
      <c r="K24" s="43" t="n"/>
    </row>
    <row r="25">
      <c r="A25" s="53" t="inlineStr">
        <is>
          <t>Larissa</t>
        </is>
      </c>
      <c r="B25" s="43" t="inlineStr">
        <is>
          <t>Foz do Iguaçu</t>
        </is>
      </c>
      <c r="C25" s="43" t="n">
        <v>2</v>
      </c>
      <c r="D25" s="43" t="inlineStr">
        <is>
          <t>Andrea Carla Winkelmann</t>
        </is>
      </c>
      <c r="E25" s="44" t="inlineStr">
        <is>
          <t>Enviado</t>
        </is>
      </c>
      <c r="F25" s="43" t="inlineStr">
        <is>
          <t>08/08/2025</t>
        </is>
      </c>
      <c r="G25" s="45" t="inlineStr">
        <is>
          <t>Sim</t>
        </is>
      </c>
      <c r="H25" s="43" t="inlineStr">
        <is>
          <t>corrigir aba 7 (não há compostagem)</t>
        </is>
      </c>
      <c r="I25" s="43" t="n"/>
      <c r="J25" s="43" t="inlineStr">
        <is>
          <t>Não</t>
        </is>
      </c>
      <c r="K25" s="43" t="n"/>
    </row>
    <row r="26">
      <c r="A26" s="53" t="inlineStr">
        <is>
          <t>Larissa</t>
        </is>
      </c>
      <c r="B26" s="43" t="inlineStr">
        <is>
          <t>Foz do Iguaçu</t>
        </is>
      </c>
      <c r="C26" s="43" t="n">
        <v>3</v>
      </c>
      <c r="D26" s="43" t="inlineStr">
        <is>
          <t>Lorizete de Andrade</t>
        </is>
      </c>
      <c r="E26" s="44" t="inlineStr">
        <is>
          <t>Enviado</t>
        </is>
      </c>
      <c r="F26" s="43" t="inlineStr">
        <is>
          <t>08/08/2025</t>
        </is>
      </c>
      <c r="G26" s="45" t="inlineStr">
        <is>
          <t>Sim</t>
        </is>
      </c>
      <c r="H26" s="43" t="inlineStr">
        <is>
          <t>corrigir aba 7 (não há compostagem)</t>
        </is>
      </c>
      <c r="I26" s="43" t="n"/>
      <c r="J26" s="43" t="inlineStr">
        <is>
          <t>Não</t>
        </is>
      </c>
      <c r="K26" s="43" t="n"/>
    </row>
    <row r="27">
      <c r="A27" s="53" t="inlineStr">
        <is>
          <t>Larissa</t>
        </is>
      </c>
      <c r="B27" s="43" t="inlineStr">
        <is>
          <t>Foz do Iguaçu</t>
        </is>
      </c>
      <c r="C27" s="43" t="n">
        <v>4</v>
      </c>
      <c r="D27" s="43" t="inlineStr">
        <is>
          <t>Andressa Maia</t>
        </is>
      </c>
      <c r="E27" s="44" t="inlineStr">
        <is>
          <t>Enviado</t>
        </is>
      </c>
      <c r="F27" s="43" t="inlineStr">
        <is>
          <t>08/08/2025</t>
        </is>
      </c>
      <c r="G27" s="45" t="inlineStr">
        <is>
          <t>Sim</t>
        </is>
      </c>
      <c r="H27" s="43" t="inlineStr">
        <is>
          <t>corrigir aba 7 (não há compostagem)</t>
        </is>
      </c>
      <c r="I27" s="43" t="n"/>
      <c r="J27" s="43" t="inlineStr">
        <is>
          <t>Não</t>
        </is>
      </c>
      <c r="K27" s="43" t="n"/>
    </row>
    <row r="28">
      <c r="A28" s="53" t="inlineStr">
        <is>
          <t>Larissa</t>
        </is>
      </c>
      <c r="B28" s="43" t="inlineStr">
        <is>
          <t>Foz do Iguaçu</t>
        </is>
      </c>
      <c r="C28" s="43" t="n">
        <v>5</v>
      </c>
      <c r="D28" s="43" t="inlineStr">
        <is>
          <t>Lucas Correia de Souza</t>
        </is>
      </c>
      <c r="E28" s="44" t="inlineStr">
        <is>
          <t>Enviado</t>
        </is>
      </c>
      <c r="F28" s="43" t="inlineStr">
        <is>
          <t>08/08/2025</t>
        </is>
      </c>
      <c r="G28" s="45" t="inlineStr">
        <is>
          <t>Sim</t>
        </is>
      </c>
      <c r="H28" s="43" t="inlineStr">
        <is>
          <t>corrigir aba 7 (não há compostagem)</t>
        </is>
      </c>
      <c r="I28" s="43" t="n"/>
      <c r="J28" s="43" t="inlineStr">
        <is>
          <t>Não</t>
        </is>
      </c>
      <c r="K28" s="43" t="n"/>
    </row>
    <row r="29">
      <c r="A29" s="53" t="inlineStr">
        <is>
          <t>Larissa</t>
        </is>
      </c>
      <c r="B29" s="43" t="inlineStr">
        <is>
          <t>Foz do Iguaçu</t>
        </is>
      </c>
      <c r="C29" s="43" t="n">
        <v>6</v>
      </c>
      <c r="D29" s="43" t="inlineStr">
        <is>
          <t>Jose Francisco Mariano de Faria Filho</t>
        </is>
      </c>
      <c r="E29" s="44" t="inlineStr">
        <is>
          <t>Enviado</t>
        </is>
      </c>
      <c r="F29" s="43" t="inlineStr">
        <is>
          <t>08/08/2025</t>
        </is>
      </c>
      <c r="G29" s="45" t="inlineStr">
        <is>
          <t>Sim</t>
        </is>
      </c>
      <c r="H29" s="43" t="inlineStr">
        <is>
          <t>corrigir aba 7 (não há compostagem)</t>
        </is>
      </c>
      <c r="I29" s="43" t="n"/>
      <c r="J29" s="43" t="inlineStr">
        <is>
          <t>Não</t>
        </is>
      </c>
      <c r="K29" s="43" t="n"/>
    </row>
    <row r="30">
      <c r="A30" s="53" t="inlineStr">
        <is>
          <t>Larissa</t>
        </is>
      </c>
      <c r="B30" s="43" t="inlineStr">
        <is>
          <t>Foz do Iguaçu</t>
        </is>
      </c>
      <c r="C30" s="43" t="n">
        <v>7</v>
      </c>
      <c r="D30" s="43" t="inlineStr">
        <is>
          <t>Pedro Henrique Mariano de Faria</t>
        </is>
      </c>
      <c r="E30" s="44" t="inlineStr">
        <is>
          <t>Enviado</t>
        </is>
      </c>
      <c r="F30" s="43" t="inlineStr">
        <is>
          <t>08/08/2025</t>
        </is>
      </c>
      <c r="G30" s="45" t="inlineStr">
        <is>
          <t>Sim</t>
        </is>
      </c>
      <c r="H30" s="43" t="inlineStr">
        <is>
          <t>corrigir aba 7 (não há compostagem)</t>
        </is>
      </c>
      <c r="I30" s="43" t="n"/>
      <c r="J30" s="43" t="inlineStr">
        <is>
          <t>Não</t>
        </is>
      </c>
      <c r="K30" s="43" t="n"/>
    </row>
    <row r="31">
      <c r="A31" s="53" t="inlineStr">
        <is>
          <t>Larissa</t>
        </is>
      </c>
      <c r="B31" s="43" t="inlineStr">
        <is>
          <t>Foz do Iguaçu</t>
        </is>
      </c>
      <c r="C31" s="43" t="n">
        <v>8</v>
      </c>
      <c r="D31" s="43" t="inlineStr">
        <is>
          <t>Renata Aparecida de Souza</t>
        </is>
      </c>
      <c r="E31" s="44" t="inlineStr">
        <is>
          <t>Enviado</t>
        </is>
      </c>
      <c r="F31" s="43" t="inlineStr">
        <is>
          <t>08/08/2025</t>
        </is>
      </c>
      <c r="G31" s="45" t="inlineStr">
        <is>
          <t>Sim</t>
        </is>
      </c>
      <c r="H31" s="43" t="inlineStr">
        <is>
          <t>corrigir aba 7 (não há compostagem)</t>
        </is>
      </c>
      <c r="I31" s="43" t="n"/>
      <c r="J31" s="43" t="inlineStr">
        <is>
          <t>Não</t>
        </is>
      </c>
      <c r="K31" s="43" t="n"/>
    </row>
    <row r="32">
      <c r="A32" s="53" t="inlineStr">
        <is>
          <t>Larissa</t>
        </is>
      </c>
      <c r="B32" s="43" t="inlineStr">
        <is>
          <t>Foz do Iguaçu</t>
        </is>
      </c>
      <c r="C32" s="43" t="n">
        <v>9</v>
      </c>
      <c r="D32" s="43" t="inlineStr">
        <is>
          <t>Maria Eduarda dos Santos Arias</t>
        </is>
      </c>
      <c r="E32" s="44" t="inlineStr">
        <is>
          <t>Enviado</t>
        </is>
      </c>
      <c r="F32" s="43" t="inlineStr">
        <is>
          <t>08/08/2025</t>
        </is>
      </c>
      <c r="G32" s="45" t="inlineStr">
        <is>
          <t>Sim</t>
        </is>
      </c>
      <c r="H32" s="43" t="inlineStr">
        <is>
          <t>corrigir aba 7 (não há compostagem)</t>
        </is>
      </c>
      <c r="I32" s="43" t="n"/>
      <c r="J32" s="43" t="inlineStr">
        <is>
          <t>Não</t>
        </is>
      </c>
      <c r="K32" s="43" t="n"/>
    </row>
    <row r="33">
      <c r="A33" s="42" t="inlineStr">
        <is>
          <t>Gabriel</t>
        </is>
      </c>
      <c r="B33" s="43" t="inlineStr">
        <is>
          <t>Francisco Alves</t>
        </is>
      </c>
      <c r="C33" s="43" t="n">
        <v>1</v>
      </c>
      <c r="D33" s="43" t="inlineStr">
        <is>
          <t>Paulo Rogerio Hiroshi Fujii</t>
        </is>
      </c>
      <c r="E33" s="47" t="inlineStr">
        <is>
          <t>Atrasado</t>
        </is>
      </c>
      <c r="F33" s="43" t="n"/>
      <c r="G33" s="48" t="inlineStr">
        <is>
          <t>Não</t>
        </is>
      </c>
      <c r="H33" s="43" t="n"/>
      <c r="I33" s="43" t="n"/>
      <c r="J33" s="43" t="inlineStr">
        <is>
          <t>Não</t>
        </is>
      </c>
      <c r="K33" s="43" t="n"/>
    </row>
    <row r="34">
      <c r="A34" s="42" t="inlineStr">
        <is>
          <t>Gabriel</t>
        </is>
      </c>
      <c r="B34" s="43" t="inlineStr">
        <is>
          <t>Guaira</t>
        </is>
      </c>
      <c r="C34" s="43" t="n">
        <v>1</v>
      </c>
      <c r="D34" s="43" t="inlineStr">
        <is>
          <t>Marlene R. Oliveira Dallacosta</t>
        </is>
      </c>
      <c r="E34" s="47" t="inlineStr">
        <is>
          <t>Atrasado</t>
        </is>
      </c>
      <c r="F34" s="43" t="n"/>
      <c r="G34" s="48" t="inlineStr">
        <is>
          <t>Não</t>
        </is>
      </c>
      <c r="H34" s="43" t="n"/>
      <c r="I34" s="43" t="n"/>
      <c r="J34" s="43" t="inlineStr">
        <is>
          <t>Não</t>
        </is>
      </c>
      <c r="K34" s="43" t="n"/>
    </row>
    <row r="35">
      <c r="A35" s="46" t="inlineStr">
        <is>
          <t>Bianca</t>
        </is>
      </c>
      <c r="B35" s="43" t="inlineStr">
        <is>
          <t>Guaraniacu</t>
        </is>
      </c>
      <c r="C35" s="43" t="n">
        <v>1</v>
      </c>
      <c r="D35" s="43" t="inlineStr">
        <is>
          <t>Vitolor dos Santos Almeida</t>
        </is>
      </c>
      <c r="E35" s="44" t="inlineStr">
        <is>
          <t>Enviado</t>
        </is>
      </c>
      <c r="F35" s="43" t="inlineStr">
        <is>
          <t>02/04/2025</t>
        </is>
      </c>
      <c r="G35" s="48" t="inlineStr">
        <is>
          <t>Não</t>
        </is>
      </c>
      <c r="H35" s="43" t="inlineStr">
        <is>
          <t>Necessário ajustes pág 4, 5 e 6</t>
        </is>
      </c>
      <c r="I35" s="43" t="inlineStr">
        <is>
          <t>ID98</t>
        </is>
      </c>
      <c r="J35" s="43" t="inlineStr">
        <is>
          <t>Sim</t>
        </is>
      </c>
      <c r="K35" s="43" t="inlineStr">
        <is>
          <t>Deletado 98</t>
        </is>
      </c>
    </row>
    <row r="36">
      <c r="A36" s="46" t="inlineStr">
        <is>
          <t>Bianca</t>
        </is>
      </c>
      <c r="B36" s="43" t="inlineStr">
        <is>
          <t>Ibema</t>
        </is>
      </c>
      <c r="C36" s="43" t="n">
        <v>1</v>
      </c>
      <c r="D36" s="43" t="inlineStr">
        <is>
          <t>Kelly Jackeline Silva do Valle</t>
        </is>
      </c>
      <c r="E36" s="44" t="inlineStr">
        <is>
          <t>Enviado</t>
        </is>
      </c>
      <c r="F36" s="43" t="inlineStr">
        <is>
          <t>24/03/2025</t>
        </is>
      </c>
      <c r="G36" s="45" t="inlineStr">
        <is>
          <t>Sim</t>
        </is>
      </c>
      <c r="H36" s="43" t="inlineStr">
        <is>
          <t>pág 6, a frequência de coleta urbana e rural é em porcentagem e não em dias.</t>
        </is>
      </c>
      <c r="I36" s="43" t="n"/>
      <c r="J36" s="43" t="inlineStr">
        <is>
          <t>Não</t>
        </is>
      </c>
      <c r="K36" s="43" t="n"/>
    </row>
    <row r="37">
      <c r="A37" s="46" t="inlineStr">
        <is>
          <t>Bianca</t>
        </is>
      </c>
      <c r="B37" s="43" t="inlineStr">
        <is>
          <t>Iguatu</t>
        </is>
      </c>
      <c r="C37" s="43" t="n">
        <v>1</v>
      </c>
      <c r="D37" s="43" t="inlineStr">
        <is>
          <t>Felipe Carvalho Zydek</t>
        </is>
      </c>
      <c r="E37" s="44" t="inlineStr">
        <is>
          <t>Enviado</t>
        </is>
      </c>
      <c r="F37" s="43" t="inlineStr">
        <is>
          <t>13/03/2025</t>
        </is>
      </c>
      <c r="G37" s="45" t="inlineStr">
        <is>
          <t>Sim</t>
        </is>
      </c>
      <c r="H37" s="43" t="inlineStr">
        <is>
          <t>Pág 5, vc não conseguiu i valor da taxa de lixo recebida em 2024 pela prefeitura.
Pág 6, a frequência das coletas é porcentagem, não em dia.</t>
        </is>
      </c>
      <c r="I37" s="43" t="n"/>
      <c r="J37" s="43" t="inlineStr">
        <is>
          <t>Não</t>
        </is>
      </c>
      <c r="K37" s="43" t="n"/>
    </row>
    <row r="38">
      <c r="A38" s="49" t="inlineStr">
        <is>
          <t>Gustavo</t>
        </is>
      </c>
      <c r="B38" s="43" t="inlineStr">
        <is>
          <t>Iracema do Oeste</t>
        </is>
      </c>
      <c r="C38" s="43" t="n">
        <v>1</v>
      </c>
      <c r="D38" s="43" t="inlineStr">
        <is>
          <t>Eliane Borin</t>
        </is>
      </c>
      <c r="E38" s="44" t="inlineStr">
        <is>
          <t>Enviado</t>
        </is>
      </c>
      <c r="F38" s="43" t="inlineStr">
        <is>
          <t>18/03/2025</t>
        </is>
      </c>
      <c r="G38" s="48" t="inlineStr">
        <is>
          <t>Sim</t>
        </is>
      </c>
      <c r="H38" s="43" t="inlineStr">
        <is>
          <t>09/04- Dados incorretos informações da coleta seletiva - formulário aba 6 - dados da frequancia semanal -</t>
        </is>
      </c>
      <c r="I38" s="43" t="n"/>
      <c r="J38" s="43" t="inlineStr">
        <is>
          <t>Não</t>
        </is>
      </c>
      <c r="K38" s="43" t="n"/>
    </row>
    <row r="39">
      <c r="A39" s="52" t="inlineStr">
        <is>
          <t>Luana</t>
        </is>
      </c>
      <c r="B39" s="43" t="inlineStr">
        <is>
          <t>Itaipulândia</t>
        </is>
      </c>
      <c r="C39" s="43" t="n">
        <v>1</v>
      </c>
      <c r="D39" s="43" t="inlineStr">
        <is>
          <t>Tatiana schrard</t>
        </is>
      </c>
      <c r="E39" s="44" t="inlineStr">
        <is>
          <t>Enviado</t>
        </is>
      </c>
      <c r="F39" s="43" t="inlineStr">
        <is>
          <t>04/04/2025</t>
        </is>
      </c>
      <c r="G39" s="48" t="inlineStr">
        <is>
          <t>Sim</t>
        </is>
      </c>
      <c r="H39" s="43" t="n"/>
      <c r="I39" s="43" t="n"/>
      <c r="J39" s="43" t="inlineStr">
        <is>
          <t>Não</t>
        </is>
      </c>
      <c r="K39" s="43" t="n"/>
    </row>
    <row r="40">
      <c r="A40" s="49" t="inlineStr">
        <is>
          <t>Gustavo</t>
        </is>
      </c>
      <c r="B40" s="43" t="inlineStr">
        <is>
          <t>Jesuítas</t>
        </is>
      </c>
      <c r="C40" s="43" t="n">
        <v>1</v>
      </c>
      <c r="D40" s="43" t="inlineStr">
        <is>
          <t>César Piva Glinglani</t>
        </is>
      </c>
      <c r="E40" s="44" t="inlineStr">
        <is>
          <t>Enviado</t>
        </is>
      </c>
      <c r="F40" s="43" t="inlineStr">
        <is>
          <t>16/07/2025</t>
        </is>
      </c>
      <c r="G40" s="48" t="inlineStr">
        <is>
          <t>Sim</t>
        </is>
      </c>
      <c r="H40" s="43" t="n"/>
      <c r="I40" s="43" t="n"/>
      <c r="J40" s="43" t="inlineStr">
        <is>
          <t>Não</t>
        </is>
      </c>
      <c r="K40" s="43" t="n"/>
    </row>
    <row r="41">
      <c r="A41" s="50" t="inlineStr">
        <is>
          <t>Valquiria</t>
        </is>
      </c>
      <c r="B41" s="43" t="inlineStr">
        <is>
          <t>Lindoeste</t>
        </is>
      </c>
      <c r="C41" s="43" t="n">
        <v>1</v>
      </c>
      <c r="D41" s="43" t="inlineStr">
        <is>
          <t>Ailton Carlos Fialho</t>
        </is>
      </c>
      <c r="E41" s="47" t="inlineStr">
        <is>
          <t>Atrasado</t>
        </is>
      </c>
      <c r="F41" s="43" t="n"/>
      <c r="G41" s="48" t="inlineStr">
        <is>
          <t>Não</t>
        </is>
      </c>
      <c r="H41" s="43" t="n"/>
      <c r="I41" s="43" t="n"/>
      <c r="J41" s="43" t="inlineStr">
        <is>
          <t>Não</t>
        </is>
      </c>
      <c r="K41" s="43" t="n"/>
    </row>
    <row r="42">
      <c r="A42" s="52" t="inlineStr">
        <is>
          <t>Luana</t>
        </is>
      </c>
      <c r="B42" s="43" t="inlineStr">
        <is>
          <t>Marechal Candido Rondon</t>
        </is>
      </c>
      <c r="C42" s="43" t="n">
        <v>1</v>
      </c>
      <c r="D42" s="43" t="inlineStr">
        <is>
          <t>Marcos José Chaves</t>
        </is>
      </c>
      <c r="E42" s="44" t="inlineStr">
        <is>
          <t>Enviado</t>
        </is>
      </c>
      <c r="F42" s="43" t="inlineStr">
        <is>
          <t>21/05/2025</t>
        </is>
      </c>
      <c r="G42" s="48" t="inlineStr">
        <is>
          <t>Sim</t>
        </is>
      </c>
      <c r="H42" s="43" t="n"/>
      <c r="I42" s="43" t="n"/>
      <c r="J42" s="43" t="inlineStr">
        <is>
          <t>Não</t>
        </is>
      </c>
      <c r="K42" s="43" t="n"/>
    </row>
    <row r="43">
      <c r="A43" s="52" t="inlineStr">
        <is>
          <t>Luana</t>
        </is>
      </c>
      <c r="B43" s="43" t="inlineStr">
        <is>
          <t>Marechal Candido Rondon</t>
        </is>
      </c>
      <c r="C43" s="43" t="n">
        <v>2</v>
      </c>
      <c r="D43" s="43" t="inlineStr">
        <is>
          <t>Diego Matheus Reinicke</t>
        </is>
      </c>
      <c r="E43" s="44" t="inlineStr">
        <is>
          <t>Enviado</t>
        </is>
      </c>
      <c r="F43" s="43" t="inlineStr">
        <is>
          <t>21/05/2025</t>
        </is>
      </c>
      <c r="G43" s="48" t="inlineStr">
        <is>
          <t>Sim</t>
        </is>
      </c>
      <c r="H43" s="43" t="n"/>
      <c r="I43" s="43" t="n"/>
      <c r="J43" s="43" t="inlineStr">
        <is>
          <t>Não</t>
        </is>
      </c>
      <c r="K43" s="43" t="n"/>
    </row>
    <row r="44">
      <c r="A44" s="49" t="inlineStr">
        <is>
          <t>Gustavo</t>
        </is>
      </c>
      <c r="B44" s="43" t="inlineStr">
        <is>
          <t>Maripa</t>
        </is>
      </c>
      <c r="C44" s="43" t="n">
        <v>1</v>
      </c>
      <c r="D44" s="43" t="inlineStr">
        <is>
          <t>Cleiton Manske</t>
        </is>
      </c>
      <c r="E44" s="44" t="inlineStr">
        <is>
          <t>Enviado</t>
        </is>
      </c>
      <c r="F44" s="43" t="inlineStr">
        <is>
          <t>11/11/2025</t>
        </is>
      </c>
      <c r="G44" s="48" t="inlineStr">
        <is>
          <t>Sim</t>
        </is>
      </c>
      <c r="H44" s="43" t="n"/>
      <c r="I44" s="43" t="n"/>
      <c r="J44" s="43" t="inlineStr">
        <is>
          <t>Não</t>
        </is>
      </c>
      <c r="K44" s="43" t="n"/>
    </row>
    <row r="45">
      <c r="A45" s="52" t="inlineStr">
        <is>
          <t>Luana</t>
        </is>
      </c>
      <c r="B45" s="43" t="inlineStr">
        <is>
          <t>Matelândia</t>
        </is>
      </c>
      <c r="C45" s="43" t="n">
        <v>1</v>
      </c>
      <c r="D45" s="43" t="inlineStr">
        <is>
          <t>Alexandro Aparecido de Lima Vieira</t>
        </is>
      </c>
      <c r="E45" s="44" t="inlineStr">
        <is>
          <t>Enviado</t>
        </is>
      </c>
      <c r="F45" s="43" t="inlineStr">
        <is>
          <t>02/04/2025</t>
        </is>
      </c>
      <c r="G45" s="45" t="inlineStr">
        <is>
          <t>Sim</t>
        </is>
      </c>
      <c r="H45" s="43" t="n"/>
      <c r="I45" s="43" t="n"/>
      <c r="J45" s="43" t="inlineStr">
        <is>
          <t>Não</t>
        </is>
      </c>
      <c r="K45" s="43" t="n"/>
    </row>
    <row r="46">
      <c r="A46" s="53" t="inlineStr">
        <is>
          <t>Larissa</t>
        </is>
      </c>
      <c r="B46" s="43" t="inlineStr">
        <is>
          <t>Medianeira</t>
        </is>
      </c>
      <c r="C46" s="43" t="n">
        <v>1</v>
      </c>
      <c r="D46" s="43" t="inlineStr">
        <is>
          <t>Natielly Pereira Ochoa</t>
        </is>
      </c>
      <c r="E46" s="44" t="inlineStr">
        <is>
          <t>Enviado</t>
        </is>
      </c>
      <c r="F46" s="43" t="inlineStr">
        <is>
          <t>18/03/2025</t>
        </is>
      </c>
      <c r="G46" s="45" t="inlineStr">
        <is>
          <t>Sim</t>
        </is>
      </c>
      <c r="H46" s="43" t="inlineStr">
        <is>
          <t>corrigir aba 5 - lançar dados financeiros da coleta (já comunicado o técnicor</t>
        </is>
      </c>
      <c r="I46" s="43" t="n"/>
      <c r="J46" s="43" t="inlineStr">
        <is>
          <t>Não</t>
        </is>
      </c>
      <c r="K46" s="43" t="n"/>
    </row>
    <row r="47">
      <c r="A47" s="42" t="inlineStr">
        <is>
          <t>Gabriel</t>
        </is>
      </c>
      <c r="B47" s="43" t="inlineStr">
        <is>
          <t>Mercedes</t>
        </is>
      </c>
      <c r="C47" s="43" t="n">
        <v>1</v>
      </c>
      <c r="D47" s="43" t="inlineStr">
        <is>
          <t>Roberto Pedron</t>
        </is>
      </c>
      <c r="E47" s="44" t="inlineStr">
        <is>
          <t>Enviado</t>
        </is>
      </c>
      <c r="F47" s="43" t="inlineStr">
        <is>
          <t>26/11/2025</t>
        </is>
      </c>
      <c r="G47" s="48" t="inlineStr">
        <is>
          <t>Não</t>
        </is>
      </c>
      <c r="H47" s="43" t="n"/>
      <c r="I47" s="43" t="n"/>
      <c r="J47" s="43" t="inlineStr">
        <is>
          <t>Não</t>
        </is>
      </c>
      <c r="K47" s="43" t="n"/>
    </row>
    <row r="48">
      <c r="A48" s="52" t="inlineStr">
        <is>
          <t>Luana</t>
        </is>
      </c>
      <c r="B48" s="43" t="inlineStr">
        <is>
          <t>Missal</t>
        </is>
      </c>
      <c r="C48" s="43" t="n">
        <v>1</v>
      </c>
      <c r="D48" s="43" t="inlineStr">
        <is>
          <t>Luciane Spies</t>
        </is>
      </c>
      <c r="E48" s="44" t="inlineStr">
        <is>
          <t>Enviado</t>
        </is>
      </c>
      <c r="F48" s="43" t="inlineStr">
        <is>
          <t>18/03/2025</t>
        </is>
      </c>
      <c r="G48" s="45" t="inlineStr">
        <is>
          <t>Sim</t>
        </is>
      </c>
      <c r="H48" s="43" t="n"/>
      <c r="I48" s="43" t="n"/>
      <c r="J48" s="43" t="inlineStr">
        <is>
          <t>Não</t>
        </is>
      </c>
      <c r="K48" s="43" t="n"/>
    </row>
    <row r="49">
      <c r="A49" s="42" t="inlineStr">
        <is>
          <t>Gabriel</t>
        </is>
      </c>
      <c r="B49" s="43" t="inlineStr">
        <is>
          <t>Mundo Novo</t>
        </is>
      </c>
      <c r="C49" s="43" t="n">
        <v>1</v>
      </c>
      <c r="D49" s="43" t="inlineStr">
        <is>
          <t>Jaqueline Fernanda Meireles</t>
        </is>
      </c>
      <c r="E49" s="44" t="inlineStr">
        <is>
          <t>Enviado</t>
        </is>
      </c>
      <c r="F49" s="43" t="inlineStr">
        <is>
          <t>06/08/2025</t>
        </is>
      </c>
      <c r="G49" s="45" t="inlineStr">
        <is>
          <t>Sim</t>
        </is>
      </c>
      <c r="H49" s="43" t="inlineStr">
        <is>
          <t>Verificar quanto 1 - Qual a receita anual com essa taxa conforme o balanço anterior?; A prefeitura apoia os catadores com: AINDA não tem contrato, retirar. de resto ok!</t>
        </is>
      </c>
      <c r="I49" s="43" t="n"/>
      <c r="J49" s="43" t="inlineStr">
        <is>
          <t>Não</t>
        </is>
      </c>
      <c r="K49" s="43" t="n"/>
    </row>
    <row r="50">
      <c r="A50" s="49" t="inlineStr">
        <is>
          <t>Gustavo</t>
        </is>
      </c>
      <c r="B50" s="43" t="inlineStr">
        <is>
          <t>Nova Aurora</t>
        </is>
      </c>
      <c r="C50" s="43" t="n">
        <v>1</v>
      </c>
      <c r="D50" s="43" t="inlineStr">
        <is>
          <t>Luiz Fernando Pereira Barbosa</t>
        </is>
      </c>
      <c r="E50" s="44" t="inlineStr">
        <is>
          <t>Enviado</t>
        </is>
      </c>
      <c r="F50" s="43" t="inlineStr">
        <is>
          <t>16/04/2025</t>
        </is>
      </c>
      <c r="G50" s="48" t="inlineStr">
        <is>
          <t>Não</t>
        </is>
      </c>
      <c r="H50" s="43" t="n"/>
      <c r="I50" s="43" t="n"/>
      <c r="J50" s="43" t="inlineStr">
        <is>
          <t>Não</t>
        </is>
      </c>
      <c r="K50" s="43" t="n"/>
    </row>
    <row r="51">
      <c r="A51" s="42" t="inlineStr">
        <is>
          <t>Gabriel</t>
        </is>
      </c>
      <c r="B51" s="43" t="inlineStr">
        <is>
          <t>Nova Santa Rosa</t>
        </is>
      </c>
      <c r="C51" s="43" t="n">
        <v>1</v>
      </c>
      <c r="D51" s="43" t="inlineStr">
        <is>
          <t>Carolina Eggers</t>
        </is>
      </c>
      <c r="E51" s="44" t="inlineStr">
        <is>
          <t>Enviado</t>
        </is>
      </c>
      <c r="F51" s="43" t="inlineStr">
        <is>
          <t>31/03/2025</t>
        </is>
      </c>
      <c r="G51" s="45" t="inlineStr">
        <is>
          <t>Sim</t>
        </is>
      </c>
      <c r="H51" s="43" t="inlineStr">
        <is>
          <t>formulário ok</t>
        </is>
      </c>
      <c r="I51" s="43" t="n"/>
      <c r="J51" s="43" t="inlineStr">
        <is>
          <t>Não</t>
        </is>
      </c>
      <c r="K51" s="43" t="n"/>
    </row>
    <row r="52">
      <c r="A52" s="42" t="inlineStr">
        <is>
          <t>Gabriel</t>
        </is>
      </c>
      <c r="B52" s="43" t="inlineStr">
        <is>
          <t>Ouro Verde do Oeste</t>
        </is>
      </c>
      <c r="C52" s="43" t="n">
        <v>1</v>
      </c>
      <c r="D52" s="43" t="inlineStr">
        <is>
          <t>Ivan Gonçalves da Silva</t>
        </is>
      </c>
      <c r="E52" s="44" t="inlineStr">
        <is>
          <t>Enviado</t>
        </is>
      </c>
      <c r="F52" s="43" t="inlineStr">
        <is>
          <t>27/03/2025</t>
        </is>
      </c>
      <c r="G52" s="45" t="inlineStr">
        <is>
          <t>Sim</t>
        </is>
      </c>
      <c r="H52" s="43" t="inlineStr">
        <is>
          <t>formulário ok</t>
        </is>
      </c>
      <c r="I52" s="43" t="n"/>
      <c r="J52" s="43" t="inlineStr">
        <is>
          <t>Não</t>
        </is>
      </c>
      <c r="K52" s="43" t="n"/>
    </row>
    <row r="53">
      <c r="A53" s="49" t="inlineStr">
        <is>
          <t>Gustavo</t>
        </is>
      </c>
      <c r="B53" s="43" t="inlineStr">
        <is>
          <t>Palotina</t>
        </is>
      </c>
      <c r="C53" s="43" t="n">
        <v>1</v>
      </c>
      <c r="D53" s="43" t="inlineStr">
        <is>
          <t>Dorival Manoel Canhete</t>
        </is>
      </c>
      <c r="E53" s="44" t="inlineStr">
        <is>
          <t>Enviado</t>
        </is>
      </c>
      <c r="F53" s="43" t="inlineStr">
        <is>
          <t>21/08/2025</t>
        </is>
      </c>
      <c r="G53" s="48" t="inlineStr">
        <is>
          <t>Não</t>
        </is>
      </c>
      <c r="H53" s="43" t="n"/>
      <c r="I53" s="43" t="n"/>
      <c r="J53" s="43" t="inlineStr">
        <is>
          <t>Não</t>
        </is>
      </c>
      <c r="K53" s="43" t="n"/>
    </row>
    <row r="54">
      <c r="A54" s="52" t="inlineStr">
        <is>
          <t>Luana</t>
        </is>
      </c>
      <c r="B54" s="43" t="inlineStr">
        <is>
          <t>Pato Bragado</t>
        </is>
      </c>
      <c r="C54" s="43" t="n">
        <v>1</v>
      </c>
      <c r="D54" s="43" t="inlineStr">
        <is>
          <t>Jaqueline Vanelli</t>
        </is>
      </c>
      <c r="E54" s="44" t="inlineStr">
        <is>
          <t>Enviado</t>
        </is>
      </c>
      <c r="F54" s="43" t="inlineStr">
        <is>
          <t>27/02/2025</t>
        </is>
      </c>
      <c r="G54" s="45" t="inlineStr">
        <is>
          <t>Sim</t>
        </is>
      </c>
      <c r="H54" s="43" t="inlineStr">
        <is>
          <t>o técnico precisa arrumar algumas informações</t>
        </is>
      </c>
      <c r="I54" s="43" t="n"/>
      <c r="J54" s="43" t="inlineStr">
        <is>
          <t>Não</t>
        </is>
      </c>
      <c r="K54" s="43" t="n"/>
    </row>
    <row r="55">
      <c r="A55" s="42" t="inlineStr">
        <is>
          <t>Gabriel</t>
        </is>
      </c>
      <c r="B55" s="43" t="inlineStr">
        <is>
          <t>Quatro Pontes</t>
        </is>
      </c>
      <c r="C55" s="43" t="n">
        <v>1</v>
      </c>
      <c r="D55" s="43" t="inlineStr">
        <is>
          <t>Fernanda Jung</t>
        </is>
      </c>
      <c r="E55" s="44" t="inlineStr">
        <is>
          <t>Enviado</t>
        </is>
      </c>
      <c r="F55" s="43" t="inlineStr">
        <is>
          <t>01/04/2025</t>
        </is>
      </c>
      <c r="G55" s="45" t="inlineStr">
        <is>
          <t>Sim</t>
        </is>
      </c>
      <c r="H55" s="43" t="inlineStr">
        <is>
          <t>revisar valor das despesas com coleta, está o mesmo para ambas e só a seletiva</t>
        </is>
      </c>
      <c r="I55" s="43" t="n"/>
      <c r="J55" s="43" t="inlineStr">
        <is>
          <t>Não</t>
        </is>
      </c>
      <c r="K55" s="43" t="n"/>
    </row>
    <row r="56">
      <c r="A56" s="52" t="inlineStr">
        <is>
          <t>Luana</t>
        </is>
      </c>
      <c r="B56" s="43" t="inlineStr">
        <is>
          <t>Ramilândia</t>
        </is>
      </c>
      <c r="C56" s="43" t="n">
        <v>1</v>
      </c>
      <c r="D56" s="43" t="inlineStr">
        <is>
          <t>Ana Paula Romagnoli</t>
        </is>
      </c>
      <c r="E56" s="44" t="inlineStr">
        <is>
          <t>Enviado</t>
        </is>
      </c>
      <c r="F56" s="43" t="inlineStr">
        <is>
          <t>07/04/2025</t>
        </is>
      </c>
      <c r="G56" s="48" t="inlineStr">
        <is>
          <t>Sim</t>
        </is>
      </c>
      <c r="H56" s="43" t="n"/>
      <c r="I56" s="43" t="n"/>
      <c r="J56" s="43" t="inlineStr">
        <is>
          <t>Não</t>
        </is>
      </c>
      <c r="K56" s="43" t="n"/>
    </row>
    <row r="57">
      <c r="A57" s="52" t="inlineStr">
        <is>
          <t>Luana</t>
        </is>
      </c>
      <c r="B57" s="43" t="inlineStr">
        <is>
          <t>Santa Helena</t>
        </is>
      </c>
      <c r="C57" s="43" t="n">
        <v>1</v>
      </c>
      <c r="D57" s="43" t="inlineStr">
        <is>
          <t>Alexandro Schaparini</t>
        </is>
      </c>
      <c r="E57" s="44" t="inlineStr">
        <is>
          <t>Enviado</t>
        </is>
      </c>
      <c r="F57" s="43" t="inlineStr">
        <is>
          <t>25/04/2025</t>
        </is>
      </c>
      <c r="G57" s="48" t="inlineStr">
        <is>
          <t>Sim</t>
        </is>
      </c>
      <c r="H57" s="43" t="n"/>
      <c r="I57" s="43" t="n"/>
      <c r="J57" s="43" t="inlineStr">
        <is>
          <t>Não</t>
        </is>
      </c>
      <c r="K57" s="43" t="n"/>
    </row>
    <row r="58">
      <c r="A58" s="50" t="inlineStr">
        <is>
          <t>Valquiria</t>
        </is>
      </c>
      <c r="B58" s="43" t="inlineStr">
        <is>
          <t>Santa Lúcia</t>
        </is>
      </c>
      <c r="C58" s="43" t="n">
        <v>1</v>
      </c>
      <c r="D58" s="43" t="inlineStr">
        <is>
          <t>Marina Ancelmo da Silva</t>
        </is>
      </c>
      <c r="E58" s="47" t="inlineStr">
        <is>
          <t>Atrasado</t>
        </is>
      </c>
      <c r="F58" s="43" t="n"/>
      <c r="G58" s="48" t="inlineStr">
        <is>
          <t>Não</t>
        </is>
      </c>
      <c r="H58" s="43" t="n"/>
      <c r="I58" s="43" t="n"/>
      <c r="J58" s="43" t="inlineStr">
        <is>
          <t>Não</t>
        </is>
      </c>
      <c r="K58" s="43" t="n"/>
    </row>
    <row r="59">
      <c r="A59" s="50" t="inlineStr">
        <is>
          <t>Valquiria</t>
        </is>
      </c>
      <c r="B59" s="43" t="inlineStr">
        <is>
          <t>Santa Tereza do Oeste</t>
        </is>
      </c>
      <c r="C59" s="43" t="n">
        <v>1</v>
      </c>
      <c r="D59" s="43" t="inlineStr">
        <is>
          <t>Ana Carolina Peterle Ribeiro</t>
        </is>
      </c>
      <c r="E59" s="44" t="inlineStr">
        <is>
          <t>Enviado</t>
        </is>
      </c>
      <c r="F59" s="43" t="inlineStr">
        <is>
          <t>20/03/2025</t>
        </is>
      </c>
      <c r="G59" s="45" t="inlineStr">
        <is>
          <t>Sim</t>
        </is>
      </c>
      <c r="H59" s="43" t="n"/>
      <c r="I59" s="43" t="n"/>
      <c r="J59" s="43" t="inlineStr">
        <is>
          <t>Não</t>
        </is>
      </c>
      <c r="K59" s="43" t="n"/>
    </row>
    <row r="60">
      <c r="A60" s="53" t="inlineStr">
        <is>
          <t>Larissa</t>
        </is>
      </c>
      <c r="B60" s="43" t="inlineStr">
        <is>
          <t>Santa Terezinha de Itaipu</t>
        </is>
      </c>
      <c r="C60" s="43" t="n">
        <v>1</v>
      </c>
      <c r="D60" s="43" t="inlineStr">
        <is>
          <t>Taiane Amélia Mondardo</t>
        </is>
      </c>
      <c r="E60" s="44" t="inlineStr">
        <is>
          <t>Enviado</t>
        </is>
      </c>
      <c r="F60" s="43" t="inlineStr">
        <is>
          <t>15/07/2025</t>
        </is>
      </c>
      <c r="G60" s="45" t="inlineStr">
        <is>
          <t>Sim</t>
        </is>
      </c>
      <c r="H60" s="43" t="inlineStr">
        <is>
          <t>SOlicitei ao técnico que faça o cadastramento junto a prefeitura (solicitação realizada dia 20/05/2025).</t>
        </is>
      </c>
      <c r="I60" s="43" t="n"/>
      <c r="J60" s="43" t="inlineStr">
        <is>
          <t>Não</t>
        </is>
      </c>
      <c r="K60" s="43" t="n"/>
    </row>
    <row r="61">
      <c r="A61" s="42" t="inlineStr">
        <is>
          <t>Gabriel</t>
        </is>
      </c>
      <c r="B61" s="43" t="inlineStr">
        <is>
          <t>São Jose das Palmeiras</t>
        </is>
      </c>
      <c r="C61" s="43" t="n">
        <v>1</v>
      </c>
      <c r="D61" s="43" t="inlineStr">
        <is>
          <t>Regiane Lucia Pereira</t>
        </is>
      </c>
      <c r="E61" s="44" t="inlineStr">
        <is>
          <t>Enviado</t>
        </is>
      </c>
      <c r="F61" s="43" t="inlineStr">
        <is>
          <t>11/03/2025</t>
        </is>
      </c>
      <c r="G61" s="45" t="inlineStr">
        <is>
          <t>Sim</t>
        </is>
      </c>
      <c r="H61" s="43" t="inlineStr">
        <is>
          <t xml:space="preserve">Foi solicita ao técnico para arrumar uma informação que estava errada. </t>
        </is>
      </c>
      <c r="I61" s="43" t="n"/>
      <c r="J61" s="43" t="inlineStr">
        <is>
          <t>Não</t>
        </is>
      </c>
      <c r="K61" s="43" t="n"/>
    </row>
    <row r="62">
      <c r="A62" s="53" t="inlineStr">
        <is>
          <t>Larissa</t>
        </is>
      </c>
      <c r="B62" s="43" t="inlineStr">
        <is>
          <t>São Miguel do Iguaçu</t>
        </is>
      </c>
      <c r="C62" s="43" t="n">
        <v>1</v>
      </c>
      <c r="D62" s="43" t="inlineStr">
        <is>
          <t>Andryws Rafael Gois</t>
        </is>
      </c>
      <c r="E62" s="44" t="inlineStr">
        <is>
          <t>Enviado</t>
        </is>
      </c>
      <c r="F62" s="43" t="inlineStr">
        <is>
          <t>22/04/2025</t>
        </is>
      </c>
      <c r="G62" s="45" t="inlineStr">
        <is>
          <t>Sim</t>
        </is>
      </c>
      <c r="H62" s="43" t="inlineStr">
        <is>
          <t>SOlicitei ao técnico qual ID do form 2 que precisa ser excluído (solicitação realizada dia 20/05/2025).</t>
        </is>
      </c>
      <c r="I62" s="43" t="n"/>
      <c r="J62" s="43" t="inlineStr">
        <is>
          <t>Não</t>
        </is>
      </c>
      <c r="K62" s="43" t="n"/>
    </row>
    <row r="63">
      <c r="A63" s="52" t="inlineStr">
        <is>
          <t>Luana</t>
        </is>
      </c>
      <c r="B63" s="43" t="inlineStr">
        <is>
          <t>São Pedro do Iguaçu</t>
        </is>
      </c>
      <c r="C63" s="43" t="n">
        <v>1</v>
      </c>
      <c r="D63" s="43" t="inlineStr">
        <is>
          <t>Mayara Ketllyn de Paula Rosetti</t>
        </is>
      </c>
      <c r="E63" s="44" t="inlineStr">
        <is>
          <t>Enviado</t>
        </is>
      </c>
      <c r="F63" s="43" t="inlineStr">
        <is>
          <t>01/04/2025</t>
        </is>
      </c>
      <c r="G63" s="48" t="inlineStr">
        <is>
          <t>Sim</t>
        </is>
      </c>
      <c r="H63" s="43" t="n"/>
      <c r="I63" s="43" t="n"/>
      <c r="J63" s="43" t="inlineStr">
        <is>
          <t>Não</t>
        </is>
      </c>
      <c r="K63" s="43" t="n"/>
    </row>
    <row r="64">
      <c r="A64" s="53" t="inlineStr">
        <is>
          <t>Larissa</t>
        </is>
      </c>
      <c r="B64" s="43" t="inlineStr">
        <is>
          <t>Serranopolis do Iguaçu</t>
        </is>
      </c>
      <c r="C64" s="43" t="n">
        <v>1</v>
      </c>
      <c r="D64" s="43" t="inlineStr">
        <is>
          <t>Junior Andre Britzke</t>
        </is>
      </c>
      <c r="E64" s="44" t="inlineStr">
        <is>
          <t>Enviado</t>
        </is>
      </c>
      <c r="F64" s="43" t="inlineStr">
        <is>
          <t>08/04/2025</t>
        </is>
      </c>
      <c r="G64" s="45" t="inlineStr">
        <is>
          <t>Sim</t>
        </is>
      </c>
      <c r="H64" s="43" t="n"/>
      <c r="I64" s="43" t="n"/>
      <c r="J64" s="43" t="inlineStr">
        <is>
          <t>Não</t>
        </is>
      </c>
      <c r="K64" s="43" t="n"/>
    </row>
    <row r="65">
      <c r="A65" s="42" t="inlineStr">
        <is>
          <t>Gabriel</t>
        </is>
      </c>
      <c r="B65" s="43" t="inlineStr">
        <is>
          <t>Terra Roxa</t>
        </is>
      </c>
      <c r="C65" s="43" t="n">
        <v>1</v>
      </c>
      <c r="D65" s="43" t="inlineStr">
        <is>
          <t>Adriano Pereira Guedes</t>
        </is>
      </c>
      <c r="E65" s="44" t="inlineStr">
        <is>
          <t>Enviado</t>
        </is>
      </c>
      <c r="F65" s="43" t="inlineStr">
        <is>
          <t>12/05/2025</t>
        </is>
      </c>
      <c r="G65" s="45" t="inlineStr">
        <is>
          <t>Sim</t>
        </is>
      </c>
      <c r="H65" s="43" t="inlineStr">
        <is>
          <t>Revisar informações financeiras, valores preenchidos muito abaixo do ideal (solicitar a secretária os dados); sim, há diferença entre as coletas; quanto a aba de coelta seletiva: Revisar dias de coleta, não tem como coletar 100 DIAS DENTRO DE UMA SEMANA. onde é realizado a compostagem e a reciclagem de RCC? pois no aterro não tem.</t>
        </is>
      </c>
      <c r="I65" s="43" t="inlineStr">
        <is>
          <t>ID159; ID158; ID156; ID155; ID145; ID144</t>
        </is>
      </c>
      <c r="J65" s="43" t="inlineStr">
        <is>
          <t>Sim</t>
        </is>
      </c>
      <c r="K65" s="43" t="inlineStr">
        <is>
          <t>Deletados 144;145;155;156;158;159</t>
        </is>
      </c>
    </row>
    <row r="66">
      <c r="A66" s="42" t="inlineStr">
        <is>
          <t>Gabriel</t>
        </is>
      </c>
      <c r="B66" s="43" t="inlineStr">
        <is>
          <t>Toledo</t>
        </is>
      </c>
      <c r="C66" s="43" t="n">
        <v>1</v>
      </c>
      <c r="D66" s="43" t="inlineStr">
        <is>
          <t xml:space="preserve">Suzana Cristina de Almeida </t>
        </is>
      </c>
      <c r="E66" s="44" t="inlineStr">
        <is>
          <t>Enviado</t>
        </is>
      </c>
      <c r="F66" s="43" t="inlineStr">
        <is>
          <t>29/07/2025</t>
        </is>
      </c>
      <c r="G66" s="45" t="inlineStr">
        <is>
          <t>Sim</t>
        </is>
      </c>
      <c r="H66" s="43" t="inlineStr">
        <is>
          <t>revisar: resíduos são pesados; valor das despesas com coletas</t>
        </is>
      </c>
      <c r="I66" s="43" t="n"/>
      <c r="J66" s="43" t="inlineStr">
        <is>
          <t>Não</t>
        </is>
      </c>
      <c r="K66" s="43" t="n"/>
    </row>
    <row r="67">
      <c r="A67" s="46" t="inlineStr">
        <is>
          <t>Bianca</t>
        </is>
      </c>
      <c r="B67" s="43" t="inlineStr">
        <is>
          <t>Tres Barras do Parana</t>
        </is>
      </c>
      <c r="C67" s="43" t="n">
        <v>1</v>
      </c>
      <c r="D67" s="43" t="inlineStr">
        <is>
          <t>Alice Cristiane Zancheta</t>
        </is>
      </c>
      <c r="E67" s="44" t="inlineStr">
        <is>
          <t>Enviado</t>
        </is>
      </c>
      <c r="F67" s="43" t="inlineStr">
        <is>
          <t>20/03/2025</t>
        </is>
      </c>
      <c r="G67" s="45" t="inlineStr">
        <is>
          <t>Sim</t>
        </is>
      </c>
      <c r="H67" s="43" t="inlineStr">
        <is>
          <t>Pag 6, a frequência de coleta está em porcentagem e não em dias</t>
        </is>
      </c>
      <c r="I67" s="43" t="n"/>
      <c r="J67" s="43" t="inlineStr">
        <is>
          <t>Não</t>
        </is>
      </c>
      <c r="K67" s="43" t="n"/>
    </row>
    <row r="68">
      <c r="A68" s="49" t="inlineStr">
        <is>
          <t>Gustavo</t>
        </is>
      </c>
      <c r="B68" s="43" t="inlineStr">
        <is>
          <t>Tupassi</t>
        </is>
      </c>
      <c r="C68" s="43" t="n">
        <v>1</v>
      </c>
      <c r="D68" s="43" t="inlineStr">
        <is>
          <t>Fernanda kaezer de Godoy</t>
        </is>
      </c>
      <c r="E68" s="44" t="inlineStr">
        <is>
          <t>Enviado</t>
        </is>
      </c>
      <c r="F68" s="43" t="inlineStr">
        <is>
          <t>12/03/2025</t>
        </is>
      </c>
      <c r="G68" s="48" t="inlineStr">
        <is>
          <t>Não</t>
        </is>
      </c>
      <c r="H68" s="43" t="inlineStr">
        <is>
          <t>09/04- Dados incorretos informações da coleta seletiva - formulário aba 5 - informações financeiras - distinção entre a coleta dos rejeitos e dos reciclaveis</t>
        </is>
      </c>
      <c r="I68" s="43" t="n"/>
      <c r="J68" s="43" t="inlineStr">
        <is>
          <t>Não</t>
        </is>
      </c>
      <c r="K68" s="43" t="n"/>
    </row>
    <row r="69">
      <c r="A69" s="49" t="inlineStr">
        <is>
          <t>Gustavo</t>
        </is>
      </c>
      <c r="B69" s="43" t="inlineStr">
        <is>
          <t>Ubirata</t>
        </is>
      </c>
      <c r="C69" s="43" t="n">
        <v>1</v>
      </c>
      <c r="D69" s="43" t="inlineStr">
        <is>
          <t xml:space="preserve">Ademir Papini Júnior </t>
        </is>
      </c>
      <c r="E69" s="47" t="inlineStr">
        <is>
          <t>Atrasado</t>
        </is>
      </c>
      <c r="F69" s="43" t="n"/>
      <c r="G69" s="48" t="inlineStr">
        <is>
          <t>Não</t>
        </is>
      </c>
      <c r="H69" s="43" t="n"/>
      <c r="I69" s="43" t="n"/>
      <c r="J69" s="43" t="inlineStr">
        <is>
          <t>Não</t>
        </is>
      </c>
      <c r="K69" s="43" t="n"/>
    </row>
    <row r="70">
      <c r="A70" s="52" t="inlineStr">
        <is>
          <t>Luana</t>
        </is>
      </c>
      <c r="B70" s="43" t="inlineStr">
        <is>
          <t>Vera Cruz do Oeste</t>
        </is>
      </c>
      <c r="C70" s="43" t="n">
        <v>1</v>
      </c>
      <c r="D70" s="43" t="inlineStr">
        <is>
          <t>Heloísa Maria Beloni Insenha</t>
        </is>
      </c>
      <c r="E70" s="47" t="inlineStr">
        <is>
          <t>Atrasado</t>
        </is>
      </c>
      <c r="F70" s="43" t="n"/>
      <c r="G70" s="48" t="inlineStr">
        <is>
          <t>Não</t>
        </is>
      </c>
      <c r="H70" s="43" t="n"/>
      <c r="I70" s="43" t="n"/>
      <c r="J70" s="43" t="inlineStr">
        <is>
          <t>Não</t>
        </is>
      </c>
      <c r="K70" s="43" t="n"/>
    </row>
  </sheetData>
  <autoFilter ref="A1:G1"/>
  <conditionalFormatting sqref="G2:G70">
    <cfRule type="cellIs" priority="1" operator="equal" dxfId="5" stopIfTrue="1">
      <formula>"Sim"</formula>
    </cfRule>
    <cfRule type="cellIs" priority="3" operator="equal" dxfId="6" stopIfTrue="1">
      <formula>"Não"</formula>
    </cfRule>
  </conditionalFormatting>
  <conditionalFormatting sqref="J2:J70">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70">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 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4" customWidth="1" min="5" max="5"/>
    <col width="51" customWidth="1" min="6" max="6"/>
    <col width="27" customWidth="1" min="7" max="7"/>
    <col width="344" customWidth="1" min="8" max="8"/>
    <col width="38" customWidth="1" min="9" max="9"/>
    <col width="25" customWidth="1" min="10" max="10"/>
    <col width="34" customWidth="1" min="11" max="11"/>
  </cols>
  <sheetData>
    <row r="1">
      <c r="A1" s="41" t="inlineStr">
        <is>
          <t>Regional</t>
        </is>
      </c>
      <c r="B1" s="41" t="inlineStr">
        <is>
          <t>Município</t>
        </is>
      </c>
      <c r="C1" s="41" t="inlineStr">
        <is>
          <t>UVR</t>
        </is>
      </c>
      <c r="D1" s="41" t="inlineStr">
        <is>
          <t>Técnico de UVR</t>
        </is>
      </c>
      <c r="E1" s="41" t="inlineStr">
        <is>
          <t>Situação</t>
        </is>
      </c>
      <c r="F1" s="41" t="inlineStr">
        <is>
          <t>Data de Envio</t>
        </is>
      </c>
      <c r="G1" s="41" t="inlineStr">
        <is>
          <t>Validado pelo Regional</t>
        </is>
      </c>
      <c r="H1" s="41" t="inlineStr">
        <is>
          <t>Observações</t>
        </is>
      </c>
      <c r="I1" s="41" t="inlineStr">
        <is>
          <t>Formulários para Deletar (ID)</t>
        </is>
      </c>
      <c r="J1" s="41" t="inlineStr">
        <is>
          <t>Validado Equip de TI</t>
        </is>
      </c>
      <c r="K1" s="41" t="inlineStr">
        <is>
          <t>Resposta Equipe de TI</t>
        </is>
      </c>
    </row>
    <row r="2">
      <c r="A2" s="42" t="inlineStr">
        <is>
          <t>Gabriel</t>
        </is>
      </c>
      <c r="B2" s="43" t="inlineStr">
        <is>
          <t>Altônia</t>
        </is>
      </c>
      <c r="C2" s="43" t="n">
        <v>1</v>
      </c>
      <c r="D2" s="43">
        <f>IFERROR(IF(INDEX('Form 1 - Município'!D2:D500, MATCH(B2&amp;C2, INDEX('Form 1 - Município'!B2:B500&amp;'Form 1 - Município'!C2:C500, 0), 0))="", "", INDEX('Form 1 - Município'!D2:D500, MATCH(B2&amp;C2, INDEX('Form 1 - Município'!B2:B500&amp;'Form 1 - Município'!C2:C500, 0), 0))), "")</f>
        <v/>
      </c>
      <c r="E2" s="44" t="inlineStr">
        <is>
          <t>Enviado</t>
        </is>
      </c>
      <c r="F2" s="43" t="inlineStr">
        <is>
          <t>06/02/2025</t>
        </is>
      </c>
      <c r="G2" s="54" t="inlineStr">
        <is>
          <t>Sim</t>
        </is>
      </c>
      <c r="H2" s="43" t="inlineStr">
        <is>
          <t xml:space="preserve">revisar dados, pois então incondizentes com a realidade. não tem prensa horizontal, falar comigo sobre. </t>
        </is>
      </c>
      <c r="I2" s="43" t="n"/>
      <c r="J2" s="43" t="inlineStr">
        <is>
          <t>Não</t>
        </is>
      </c>
      <c r="K2" s="43" t="n"/>
    </row>
    <row r="3">
      <c r="A3" s="46" t="inlineStr">
        <is>
          <t>Bianca</t>
        </is>
      </c>
      <c r="B3" s="43" t="inlineStr">
        <is>
          <t>Anahy</t>
        </is>
      </c>
      <c r="C3" s="43" t="n">
        <v>1</v>
      </c>
      <c r="D3" s="43">
        <f>IFERROR(IF(INDEX('Form 1 - Município'!D2:D500, MATCH(B3&amp;C3, INDEX('Form 1 - Município'!B2:B500&amp;'Form 1 - Município'!C2:C500, 0), 0))="", "", INDEX('Form 1 - Município'!D2:D500, MATCH(B3&amp;C3, INDEX('Form 1 - Município'!B2:B500&amp;'Form 1 - Município'!C2:C500, 0), 0))), "")</f>
        <v/>
      </c>
      <c r="E3" s="44" t="inlineStr">
        <is>
          <t>Enviado</t>
        </is>
      </c>
      <c r="F3" s="43" t="inlineStr">
        <is>
          <t>20/03/2025</t>
        </is>
      </c>
      <c r="G3" s="54" t="inlineStr">
        <is>
          <t>Sim</t>
        </is>
      </c>
      <c r="H3" s="43" t="inlineStr">
        <is>
          <t>nº banheiros 5?</t>
        </is>
      </c>
      <c r="I3" s="43" t="n"/>
      <c r="J3" s="43" t="inlineStr">
        <is>
          <t>Não</t>
        </is>
      </c>
      <c r="K3" s="43" t="n"/>
    </row>
    <row r="4">
      <c r="A4" s="49" t="inlineStr">
        <is>
          <t>Gustavo</t>
        </is>
      </c>
      <c r="B4" s="43" t="inlineStr">
        <is>
          <t>Assis Chateaubriand</t>
        </is>
      </c>
      <c r="C4" s="43" t="n">
        <v>1</v>
      </c>
      <c r="D4" s="43">
        <f>IFERROR(IF(INDEX('Form 1 - Município'!D2:D500, MATCH(B4&amp;C4, INDEX('Form 1 - Município'!B2:B500&amp;'Form 1 - Município'!C2:C500, 0), 0))="", "", INDEX('Form 1 - Município'!D2:D500, MATCH(B4&amp;C4, INDEX('Form 1 - Município'!B2:B500&amp;'Form 1 - Município'!C2:C500, 0), 0))), "")</f>
        <v/>
      </c>
      <c r="E4" s="44" t="inlineStr">
        <is>
          <t>Enviado</t>
        </is>
      </c>
      <c r="F4" s="43" t="inlineStr">
        <is>
          <t>21/07/2025</t>
        </is>
      </c>
      <c r="G4" s="54" t="inlineStr">
        <is>
          <t>Sim</t>
        </is>
      </c>
      <c r="H4" s="43" t="inlineStr">
        <is>
          <t xml:space="preserve">revisar metragens dos ambientes; Esteira de Triagem Elevação (era para ser esteira elevada! já está em correção), mas retirar por favor; </t>
        </is>
      </c>
      <c r="I4" s="43" t="n"/>
      <c r="J4" s="43" t="inlineStr">
        <is>
          <t>Não</t>
        </is>
      </c>
      <c r="K4" s="43" t="n"/>
    </row>
    <row r="5">
      <c r="A5" s="46" t="inlineStr">
        <is>
          <t>Bianca</t>
        </is>
      </c>
      <c r="B5" s="43" t="inlineStr">
        <is>
          <t>Boa Vista da Aparecida</t>
        </is>
      </c>
      <c r="C5" s="43" t="n">
        <v>1</v>
      </c>
      <c r="D5" s="43">
        <f>IFERROR(IF(INDEX('Form 1 - Município'!D2:D500, MATCH(B5&amp;C5, INDEX('Form 1 - Município'!B2:B500&amp;'Form 1 - Município'!C2:C500, 0), 0))="", "", INDEX('Form 1 - Município'!D2:D500, MATCH(B5&amp;C5, INDEX('Form 1 - Município'!B2:B500&amp;'Form 1 - Município'!C2:C500, 0), 0))), "")</f>
        <v/>
      </c>
      <c r="E5" s="44" t="inlineStr">
        <is>
          <t>Enviado</t>
        </is>
      </c>
      <c r="F5" s="43" t="inlineStr">
        <is>
          <t>27/03/2025</t>
        </is>
      </c>
      <c r="G5" s="54" t="inlineStr">
        <is>
          <t>Sim</t>
        </is>
      </c>
      <c r="H5" s="43" t="inlineStr">
        <is>
          <t xml:space="preserve">Foto da cozinha precisa ser incluída </t>
        </is>
      </c>
      <c r="I5" s="43" t="n"/>
      <c r="J5" s="43" t="inlineStr">
        <is>
          <t>Não</t>
        </is>
      </c>
      <c r="K5" s="43" t="n"/>
    </row>
    <row r="6">
      <c r="A6" s="46" t="inlineStr">
        <is>
          <t>Bianca</t>
        </is>
      </c>
      <c r="B6" s="43" t="inlineStr">
        <is>
          <t>Braganey</t>
        </is>
      </c>
      <c r="C6" s="43" t="n">
        <v>1</v>
      </c>
      <c r="D6" s="43">
        <f>IFERROR(IF(INDEX('Form 1 - Município'!D2:D500, MATCH(B6&amp;C6, INDEX('Form 1 - Município'!B2:B500&amp;'Form 1 - Município'!C2:C500, 0), 0))="", "", INDEX('Form 1 - Município'!D2:D500, MATCH(B6&amp;C6, INDEX('Form 1 - Município'!B2:B500&amp;'Form 1 - Município'!C2:C500, 0), 0))), "")</f>
        <v/>
      </c>
      <c r="E6" s="44" t="inlineStr">
        <is>
          <t>Enviado</t>
        </is>
      </c>
      <c r="F6" s="43" t="inlineStr">
        <is>
          <t>09/04/2025</t>
        </is>
      </c>
      <c r="G6" s="55" t="inlineStr">
        <is>
          <t>Não</t>
        </is>
      </c>
      <c r="H6" s="43" t="n"/>
      <c r="I6" s="43" t="n"/>
      <c r="J6" s="43" t="inlineStr">
        <is>
          <t>Não</t>
        </is>
      </c>
      <c r="K6" s="43" t="n"/>
    </row>
    <row r="7">
      <c r="A7" s="49" t="inlineStr">
        <is>
          <t>Gustavo</t>
        </is>
      </c>
      <c r="B7" s="43" t="inlineStr">
        <is>
          <t>Brasilândia do Sul</t>
        </is>
      </c>
      <c r="C7" s="43" t="n">
        <v>1</v>
      </c>
      <c r="D7" s="43">
        <f>IFERROR(IF(INDEX('Form 1 - Município'!D2:D500, MATCH(B7&amp;C7, INDEX('Form 1 - Município'!B2:B500&amp;'Form 1 - Município'!C2:C500, 0), 0))="", "", INDEX('Form 1 - Município'!D2:D500, MATCH(B7&amp;C7, INDEX('Form 1 - Município'!B2:B500&amp;'Form 1 - Município'!C2:C500, 0), 0))), "")</f>
        <v/>
      </c>
      <c r="E7" s="44" t="inlineStr">
        <is>
          <t>Enviado</t>
        </is>
      </c>
      <c r="F7" s="43" t="inlineStr">
        <is>
          <t>21/03/2025</t>
        </is>
      </c>
      <c r="G7" s="54" t="inlineStr">
        <is>
          <t>Sim</t>
        </is>
      </c>
      <c r="H7" s="43" t="inlineStr">
        <is>
          <t xml:space="preserve">revisar as fotos, caminhão para semi compactador, </t>
        </is>
      </c>
      <c r="I7" s="43" t="n"/>
      <c r="J7" s="43" t="inlineStr">
        <is>
          <t>Não</t>
        </is>
      </c>
      <c r="K7" s="43" t="n"/>
    </row>
    <row r="8">
      <c r="A8" s="49" t="inlineStr">
        <is>
          <t>Gustavo</t>
        </is>
      </c>
      <c r="B8" s="43" t="inlineStr">
        <is>
          <t>Cafelândia</t>
        </is>
      </c>
      <c r="C8" s="43" t="n">
        <v>1</v>
      </c>
      <c r="D8" s="43">
        <f>IFERROR(IF(INDEX('Form 1 - Município'!D2:D500, MATCH(B8&amp;C8, INDEX('Form 1 - Município'!B2:B500&amp;'Form 1 - Município'!C2:C500, 0), 0))="", "", INDEX('Form 1 - Município'!D2:D500, MATCH(B8&amp;C8, INDEX('Form 1 - Município'!B2:B500&amp;'Form 1 - Município'!C2:C500, 0), 0))), "")</f>
        <v/>
      </c>
      <c r="E8" s="44" t="inlineStr">
        <is>
          <t>Enviado</t>
        </is>
      </c>
      <c r="F8" s="43" t="inlineStr">
        <is>
          <t>20/03/2025</t>
        </is>
      </c>
      <c r="G8" s="55" t="inlineStr">
        <is>
          <t>Não</t>
        </is>
      </c>
      <c r="H8" s="43" t="n"/>
      <c r="I8" s="43" t="n"/>
      <c r="J8" s="43" t="inlineStr">
        <is>
          <t>Não</t>
        </is>
      </c>
      <c r="K8" s="43" t="n"/>
    </row>
    <row r="9">
      <c r="A9" s="46" t="inlineStr">
        <is>
          <t>Bianca</t>
        </is>
      </c>
      <c r="B9" s="43" t="inlineStr">
        <is>
          <t>Campo Bonito</t>
        </is>
      </c>
      <c r="C9" s="43" t="n">
        <v>1</v>
      </c>
      <c r="D9" s="43">
        <f>IFERROR(IF(INDEX('Form 1 - Município'!D2:D500, MATCH(B9&amp;C9, INDEX('Form 1 - Município'!B2:B500&amp;'Form 1 - Município'!C2:C500, 0), 0))="", "", INDEX('Form 1 - Município'!D2:D500, MATCH(B9&amp;C9, INDEX('Form 1 - Município'!B2:B500&amp;'Form 1 - Município'!C2:C500, 0), 0))), "")</f>
        <v/>
      </c>
      <c r="E9" s="47" t="inlineStr">
        <is>
          <t>Atrasado</t>
        </is>
      </c>
      <c r="F9" s="43" t="n"/>
      <c r="G9" s="55" t="inlineStr">
        <is>
          <t>Não</t>
        </is>
      </c>
      <c r="H9" s="43" t="n"/>
      <c r="I9" s="43" t="n"/>
      <c r="J9" s="43" t="inlineStr">
        <is>
          <t>Não</t>
        </is>
      </c>
      <c r="K9" s="43" t="n"/>
    </row>
    <row r="10">
      <c r="A10" s="50" t="inlineStr">
        <is>
          <t>Valquiria</t>
        </is>
      </c>
      <c r="B10" s="43" t="inlineStr">
        <is>
          <t>Capitão Leonidas Marques</t>
        </is>
      </c>
      <c r="C10" s="43" t="n">
        <v>1</v>
      </c>
      <c r="D10" s="43">
        <f>IFERROR(IF(INDEX('Form 1 - Município'!D2:D500, MATCH(B10&amp;C10, INDEX('Form 1 - Município'!B2:B500&amp;'Form 1 - Município'!C2:C500, 0), 0))="", "", INDEX('Form 1 - Município'!D2:D500, MATCH(B10&amp;C10, INDEX('Form 1 - Município'!B2:B500&amp;'Form 1 - Município'!C2:C500, 0), 0))), "")</f>
        <v/>
      </c>
      <c r="E10" s="44" t="inlineStr">
        <is>
          <t>Enviado</t>
        </is>
      </c>
      <c r="F10" s="43" t="inlineStr">
        <is>
          <t>07/03/2025</t>
        </is>
      </c>
      <c r="G10" s="54" t="inlineStr">
        <is>
          <t>Sim</t>
        </is>
      </c>
      <c r="H10" s="43" t="n"/>
      <c r="I10" s="43" t="n"/>
      <c r="J10" s="43" t="inlineStr">
        <is>
          <t>Não</t>
        </is>
      </c>
      <c r="K10" s="43" t="n"/>
    </row>
    <row r="11">
      <c r="A11" s="50" t="inlineStr">
        <is>
          <t>Valquiria</t>
        </is>
      </c>
      <c r="B11" s="43" t="inlineStr">
        <is>
          <t>Cascavel</t>
        </is>
      </c>
      <c r="C11" s="43" t="n">
        <v>1</v>
      </c>
      <c r="D11" s="43">
        <f>IFERROR(IF(INDEX('Form 1 - Município'!D2:D500, MATCH(B11&amp;C11, INDEX('Form 1 - Município'!B2:B500&amp;'Form 1 - Município'!C2:C500, 0), 0))="", "", INDEX('Form 1 - Município'!D2:D500, MATCH(B11&amp;C11, INDEX('Form 1 - Município'!B2:B500&amp;'Form 1 - Município'!C2:C500, 0), 0))), "")</f>
        <v/>
      </c>
      <c r="E11" s="44" t="inlineStr">
        <is>
          <t>Enviado</t>
        </is>
      </c>
      <c r="F11" s="43" t="inlineStr">
        <is>
          <t>10/04/2025</t>
        </is>
      </c>
      <c r="G11" s="55" t="inlineStr">
        <is>
          <t>Não</t>
        </is>
      </c>
      <c r="H11" s="43" t="n"/>
      <c r="I11" s="43" t="n"/>
      <c r="J11" s="43" t="inlineStr">
        <is>
          <t>Não</t>
        </is>
      </c>
      <c r="K11" s="43" t="n"/>
    </row>
    <row r="12">
      <c r="A12" s="50" t="inlineStr">
        <is>
          <t>Valquiria</t>
        </is>
      </c>
      <c r="B12" s="43" t="inlineStr">
        <is>
          <t>Cascavel</t>
        </is>
      </c>
      <c r="C12" s="43" t="n">
        <v>2</v>
      </c>
      <c r="D12" s="43">
        <f>IFERROR(IF(INDEX('Form 1 - Município'!D2:D500, MATCH(B12&amp;C12, INDEX('Form 1 - Município'!B2:B500&amp;'Form 1 - Município'!C2:C500, 0), 0))="", "", INDEX('Form 1 - Município'!D2:D500, MATCH(B12&amp;C12, INDEX('Form 1 - Município'!B2:B500&amp;'Form 1 - Município'!C2:C500, 0), 0))), "")</f>
        <v/>
      </c>
      <c r="E12" s="44" t="inlineStr">
        <is>
          <t>Enviado</t>
        </is>
      </c>
      <c r="F12" s="43" t="inlineStr">
        <is>
          <t>10/04/2025</t>
        </is>
      </c>
      <c r="G12" s="55" t="inlineStr">
        <is>
          <t>Não</t>
        </is>
      </c>
      <c r="H12" s="43" t="n"/>
      <c r="I12" s="43" t="n"/>
      <c r="J12" s="43" t="inlineStr">
        <is>
          <t>Não</t>
        </is>
      </c>
      <c r="K12" s="43" t="n"/>
    </row>
    <row r="13">
      <c r="A13" s="50" t="inlineStr">
        <is>
          <t>Valquiria</t>
        </is>
      </c>
      <c r="B13" s="43" t="inlineStr">
        <is>
          <t>Cascavel</t>
        </is>
      </c>
      <c r="C13" s="43" t="n">
        <v>3</v>
      </c>
      <c r="D13" s="43">
        <f>IFERROR(IF(INDEX('Form 1 - Município'!D2:D500, MATCH(B13&amp;C13, INDEX('Form 1 - Município'!B2:B500&amp;'Form 1 - Município'!C2:C500, 0), 0))="", "", INDEX('Form 1 - Município'!D2:D500, MATCH(B13&amp;C13, INDEX('Form 1 - Município'!B2:B500&amp;'Form 1 - Município'!C2:C500, 0), 0))), "")</f>
        <v/>
      </c>
      <c r="E13" s="44" t="inlineStr">
        <is>
          <t>Enviado</t>
        </is>
      </c>
      <c r="F13" s="43" t="inlineStr">
        <is>
          <t>09/07/2025</t>
        </is>
      </c>
      <c r="G13" s="55" t="inlineStr">
        <is>
          <t>Não</t>
        </is>
      </c>
      <c r="H13" s="43" t="n"/>
      <c r="I13" s="43" t="n"/>
      <c r="J13" s="43" t="inlineStr">
        <is>
          <t>Não</t>
        </is>
      </c>
      <c r="K13" s="43" t="n"/>
    </row>
    <row r="14">
      <c r="A14" s="50" t="inlineStr">
        <is>
          <t>Valquiria</t>
        </is>
      </c>
      <c r="B14" s="43" t="inlineStr">
        <is>
          <t>Cascavel</t>
        </is>
      </c>
      <c r="C14" s="43" t="n">
        <v>4</v>
      </c>
      <c r="D14" s="43">
        <f>IFERROR(IF(INDEX('Form 1 - Município'!D2:D500, MATCH(B14&amp;C14, INDEX('Form 1 - Município'!B2:B500&amp;'Form 1 - Município'!C2:C500, 0), 0))="", "", INDEX('Form 1 - Município'!D2:D500, MATCH(B14&amp;C14, INDEX('Form 1 - Município'!B2:B500&amp;'Form 1 - Município'!C2:C500, 0), 0))), "")</f>
        <v/>
      </c>
      <c r="E14" s="51" t="inlineStr">
        <is>
          <t>Duplicado</t>
        </is>
      </c>
      <c r="F14" s="43" t="inlineStr">
        <is>
          <t>10/04/2025, 10/04/2025, 09/05/2025, 10/06/2025</t>
        </is>
      </c>
      <c r="G14" s="55" t="inlineStr">
        <is>
          <t>Não</t>
        </is>
      </c>
      <c r="H14" s="43" t="n"/>
      <c r="I14" s="43" t="n"/>
      <c r="J14" s="43" t="inlineStr">
        <is>
          <t>Não</t>
        </is>
      </c>
      <c r="K14" s="43" t="n"/>
    </row>
    <row r="15">
      <c r="A15" s="50" t="inlineStr">
        <is>
          <t>Valquiria</t>
        </is>
      </c>
      <c r="B15" s="43" t="inlineStr">
        <is>
          <t>Cascavel</t>
        </is>
      </c>
      <c r="C15" s="43" t="n">
        <v>5</v>
      </c>
      <c r="D15" s="43">
        <f>IFERROR(IF(INDEX('Form 1 - Município'!D2:D500, MATCH(B15&amp;C15, INDEX('Form 1 - Município'!B2:B500&amp;'Form 1 - Município'!C2:C500, 0), 0))="", "", INDEX('Form 1 - Município'!D2:D500, MATCH(B15&amp;C15, INDEX('Form 1 - Município'!B2:B500&amp;'Form 1 - Município'!C2:C500, 0), 0))), "")</f>
        <v/>
      </c>
      <c r="E15" s="44" t="inlineStr">
        <is>
          <t>Enviado</t>
        </is>
      </c>
      <c r="F15" s="43" t="inlineStr">
        <is>
          <t>11/04/2025</t>
        </is>
      </c>
      <c r="G15" s="55" t="inlineStr">
        <is>
          <t>Não</t>
        </is>
      </c>
      <c r="H15" s="43" t="n"/>
      <c r="I15" s="43" t="n"/>
      <c r="J15" s="43" t="inlineStr">
        <is>
          <t>Não</t>
        </is>
      </c>
      <c r="K15" s="43" t="n"/>
    </row>
    <row r="16">
      <c r="A16" s="50" t="inlineStr">
        <is>
          <t>Valquiria</t>
        </is>
      </c>
      <c r="B16" s="43" t="inlineStr">
        <is>
          <t>Cascavel</t>
        </is>
      </c>
      <c r="C16" s="43" t="n">
        <v>6</v>
      </c>
      <c r="D16" s="43">
        <f>IFERROR(IF(INDEX('Form 1 - Município'!D2:D500, MATCH(B16&amp;C16, INDEX('Form 1 - Município'!B2:B500&amp;'Form 1 - Município'!C2:C500, 0), 0))="", "", INDEX('Form 1 - Município'!D2:D500, MATCH(B16&amp;C16, INDEX('Form 1 - Município'!B2:B500&amp;'Form 1 - Município'!C2:C500, 0), 0))), "")</f>
        <v/>
      </c>
      <c r="E16" s="44" t="inlineStr">
        <is>
          <t>Enviado</t>
        </is>
      </c>
      <c r="F16" s="43" t="inlineStr">
        <is>
          <t>20/05/2025</t>
        </is>
      </c>
      <c r="G16" s="55" t="inlineStr">
        <is>
          <t>Não</t>
        </is>
      </c>
      <c r="H16" s="43" t="n"/>
      <c r="I16" s="43" t="n"/>
      <c r="J16" s="43" t="inlineStr">
        <is>
          <t>Não</t>
        </is>
      </c>
      <c r="K16" s="43" t="n"/>
    </row>
    <row r="17">
      <c r="A17" s="46" t="inlineStr">
        <is>
          <t>Bianca</t>
        </is>
      </c>
      <c r="B17" s="43" t="inlineStr">
        <is>
          <t>Catanduvas</t>
        </is>
      </c>
      <c r="C17" s="43" t="n">
        <v>1</v>
      </c>
      <c r="D17" s="43">
        <f>IFERROR(IF(INDEX('Form 1 - Município'!D2:D500, MATCH(B17&amp;C17, INDEX('Form 1 - Município'!B2:B500&amp;'Form 1 - Município'!C2:C500, 0), 0))="", "", INDEX('Form 1 - Município'!D2:D500, MATCH(B17&amp;C17, INDEX('Form 1 - Município'!B2:B500&amp;'Form 1 - Município'!C2:C500, 0), 0))), "")</f>
        <v/>
      </c>
      <c r="E17" s="44" t="inlineStr">
        <is>
          <t>Enviado</t>
        </is>
      </c>
      <c r="F17" s="43" t="inlineStr">
        <is>
          <t>21/03/2025</t>
        </is>
      </c>
      <c r="G17" s="54" t="inlineStr">
        <is>
          <t>Sim</t>
        </is>
      </c>
      <c r="H17" s="43" t="n"/>
      <c r="I17" s="43" t="n"/>
      <c r="J17" s="43" t="inlineStr">
        <is>
          <t>Não</t>
        </is>
      </c>
      <c r="K17" s="43" t="n"/>
    </row>
    <row r="18">
      <c r="A18" s="50" t="inlineStr">
        <is>
          <t>Valquiria</t>
        </is>
      </c>
      <c r="B18" s="43" t="inlineStr">
        <is>
          <t>Céu Azul</t>
        </is>
      </c>
      <c r="C18" s="43" t="n">
        <v>1</v>
      </c>
      <c r="D18" s="43">
        <f>IFERROR(IF(INDEX('Form 1 - Município'!D2:D500, MATCH(B18&amp;C18, INDEX('Form 1 - Município'!B2:B500&amp;'Form 1 - Município'!C2:C500, 0), 0))="", "", INDEX('Form 1 - Município'!D2:D500, MATCH(B18&amp;C18, INDEX('Form 1 - Município'!B2:B500&amp;'Form 1 - Município'!C2:C500, 0), 0))), "")</f>
        <v/>
      </c>
      <c r="E18" s="44" t="inlineStr">
        <is>
          <t>Enviado</t>
        </is>
      </c>
      <c r="F18" s="43" t="inlineStr">
        <is>
          <t>22/08/2025</t>
        </is>
      </c>
      <c r="G18" s="54" t="inlineStr">
        <is>
          <t>Sim</t>
        </is>
      </c>
      <c r="H18" s="43" t="n"/>
      <c r="I18" s="43" t="n"/>
      <c r="J18" s="43" t="inlineStr">
        <is>
          <t>Não</t>
        </is>
      </c>
      <c r="K18" s="43" t="n"/>
    </row>
    <row r="19">
      <c r="A19" s="46" t="inlineStr">
        <is>
          <t>Bianca</t>
        </is>
      </c>
      <c r="B19" s="43" t="inlineStr">
        <is>
          <t>Corbélia</t>
        </is>
      </c>
      <c r="C19" s="43" t="n">
        <v>1</v>
      </c>
      <c r="D19" s="43">
        <f>IFERROR(IF(INDEX('Form 1 - Município'!D2:D500, MATCH(B19&amp;C19, INDEX('Form 1 - Município'!B2:B500&amp;'Form 1 - Município'!C2:C500, 0), 0))="", "", INDEX('Form 1 - Município'!D2:D500, MATCH(B19&amp;C19, INDEX('Form 1 - Município'!B2:B500&amp;'Form 1 - Município'!C2:C500, 0), 0))), "")</f>
        <v/>
      </c>
      <c r="E19" s="47" t="inlineStr">
        <is>
          <t>Atrasado</t>
        </is>
      </c>
      <c r="F19" s="43" t="n"/>
      <c r="G19" s="55" t="inlineStr">
        <is>
          <t>Não</t>
        </is>
      </c>
      <c r="H19" s="43" t="n"/>
      <c r="I19" s="43" t="n"/>
      <c r="J19" s="43" t="inlineStr">
        <is>
          <t>Não</t>
        </is>
      </c>
      <c r="K19" s="43" t="n"/>
    </row>
    <row r="20">
      <c r="A20" s="46" t="inlineStr">
        <is>
          <t>Bianca</t>
        </is>
      </c>
      <c r="B20" s="43" t="inlineStr">
        <is>
          <t>Diamante do Sul</t>
        </is>
      </c>
      <c r="C20" s="43" t="n">
        <v>1</v>
      </c>
      <c r="D20" s="43">
        <f>IFERROR(IF(INDEX('Form 1 - Município'!D2:D500, MATCH(B20&amp;C20, INDEX('Form 1 - Município'!B2:B500&amp;'Form 1 - Município'!C2:C500, 0), 0))="", "", INDEX('Form 1 - Município'!D2:D500, MATCH(B20&amp;C20, INDEX('Form 1 - Município'!B2:B500&amp;'Form 1 - Município'!C2:C500, 0), 0))), "")</f>
        <v/>
      </c>
      <c r="E20" s="44" t="inlineStr">
        <is>
          <t>Enviado</t>
        </is>
      </c>
      <c r="F20" s="43" t="inlineStr">
        <is>
          <t>10/03/2025</t>
        </is>
      </c>
      <c r="G20" s="54" t="inlineStr">
        <is>
          <t>Sim</t>
        </is>
      </c>
      <c r="H20" s="43" t="n"/>
      <c r="I20" s="43" t="n"/>
      <c r="J20" s="43" t="inlineStr">
        <is>
          <t>Não</t>
        </is>
      </c>
      <c r="K20" s="43" t="n"/>
    </row>
    <row r="21">
      <c r="A21" s="52" t="inlineStr">
        <is>
          <t>Luana</t>
        </is>
      </c>
      <c r="B21" s="43" t="inlineStr">
        <is>
          <t>Diamante d'Oeste</t>
        </is>
      </c>
      <c r="C21" s="43" t="n">
        <v>1</v>
      </c>
      <c r="D21" s="43">
        <f>IFERROR(IF(INDEX('Form 1 - Município'!D2:D500, MATCH(B21&amp;C21, INDEX('Form 1 - Município'!B2:B500&amp;'Form 1 - Município'!C2:C500, 0), 0))="", "", INDEX('Form 1 - Município'!D2:D500, MATCH(B21&amp;C21, INDEX('Form 1 - Município'!B2:B500&amp;'Form 1 - Município'!C2:C500, 0), 0))), "")</f>
        <v/>
      </c>
      <c r="E21" s="44" t="inlineStr">
        <is>
          <t>Enviado</t>
        </is>
      </c>
      <c r="F21" s="43" t="inlineStr">
        <is>
          <t>20/03/2025</t>
        </is>
      </c>
      <c r="G21" s="54" t="inlineStr">
        <is>
          <t>Sim</t>
        </is>
      </c>
      <c r="H21" s="43" t="n"/>
      <c r="I21" s="43" t="n"/>
      <c r="J21" s="43" t="inlineStr">
        <is>
          <t>Não</t>
        </is>
      </c>
      <c r="K21" s="43" t="n"/>
    </row>
    <row r="22">
      <c r="A22" s="52" t="inlineStr">
        <is>
          <t>Luana</t>
        </is>
      </c>
      <c r="B22" s="43" t="inlineStr">
        <is>
          <t>Entre Rios do Oeste</t>
        </is>
      </c>
      <c r="C22" s="43" t="n">
        <v>1</v>
      </c>
      <c r="D22" s="43">
        <f>IFERROR(IF(INDEX('Form 1 - Município'!D2:D500, MATCH(B22&amp;C22, INDEX('Form 1 - Município'!B2:B500&amp;'Form 1 - Município'!C2:C500, 0), 0))="", "", INDEX('Form 1 - Município'!D2:D500, MATCH(B22&amp;C22, INDEX('Form 1 - Município'!B2:B500&amp;'Form 1 - Município'!C2:C500, 0), 0))), "")</f>
        <v/>
      </c>
      <c r="E22" s="44" t="inlineStr">
        <is>
          <t>Enviado</t>
        </is>
      </c>
      <c r="F22" s="43" t="inlineStr">
        <is>
          <t>10/07/2025</t>
        </is>
      </c>
      <c r="G22" s="54" t="inlineStr">
        <is>
          <t>Sim</t>
        </is>
      </c>
      <c r="H22" s="43" t="n"/>
      <c r="I22" s="43" t="n"/>
      <c r="J22" s="43" t="inlineStr">
        <is>
          <t>Não</t>
        </is>
      </c>
      <c r="K22" s="43" t="n"/>
    </row>
    <row r="23">
      <c r="A23" s="49" t="inlineStr">
        <is>
          <t>Gustavo</t>
        </is>
      </c>
      <c r="B23" s="43" t="inlineStr">
        <is>
          <t>Formosa do Oeste</t>
        </is>
      </c>
      <c r="C23" s="43" t="n">
        <v>1</v>
      </c>
      <c r="D23" s="43">
        <f>IFERROR(IF(INDEX('Form 1 - Município'!D2:D500, MATCH(B23&amp;C23, INDEX('Form 1 - Município'!B2:B500&amp;'Form 1 - Município'!C2:C500, 0), 0))="", "", INDEX('Form 1 - Município'!D2:D500, MATCH(B23&amp;C23, INDEX('Form 1 - Município'!B2:B500&amp;'Form 1 - Município'!C2:C500, 0), 0))), "")</f>
        <v/>
      </c>
      <c r="E23" s="44" t="inlineStr">
        <is>
          <t>Enviado</t>
        </is>
      </c>
      <c r="F23" s="43" t="inlineStr">
        <is>
          <t>06/05/2025</t>
        </is>
      </c>
      <c r="G23" s="55" t="inlineStr">
        <is>
          <t>Não</t>
        </is>
      </c>
      <c r="H23" s="43" t="n"/>
      <c r="I23" s="43" t="n"/>
      <c r="J23" s="43" t="inlineStr">
        <is>
          <t>Não</t>
        </is>
      </c>
      <c r="K23" s="43" t="n"/>
    </row>
    <row r="24">
      <c r="A24" s="53" t="inlineStr">
        <is>
          <t>Larissa</t>
        </is>
      </c>
      <c r="B24" s="43" t="inlineStr">
        <is>
          <t>Foz do Iguaçu</t>
        </is>
      </c>
      <c r="C24" s="43" t="n">
        <v>1</v>
      </c>
      <c r="D24" s="43">
        <f>IFERROR(IF(INDEX('Form 1 - Município'!D2:D500, MATCH(B24&amp;C24, INDEX('Form 1 - Município'!B2:B500&amp;'Form 1 - Município'!C2:C500, 0), 0))="", "", INDEX('Form 1 - Município'!D2:D500, MATCH(B24&amp;C24, INDEX('Form 1 - Município'!B2:B500&amp;'Form 1 - Município'!C2:C500, 0), 0))), "")</f>
        <v/>
      </c>
      <c r="E24" s="44" t="inlineStr">
        <is>
          <t>Enviado</t>
        </is>
      </c>
      <c r="F24" s="43" t="inlineStr">
        <is>
          <t>25/09/2025</t>
        </is>
      </c>
      <c r="G24" s="55" t="inlineStr">
        <is>
          <t>Não</t>
        </is>
      </c>
      <c r="H24" s="43" t="n"/>
      <c r="I24" s="43" t="n"/>
      <c r="J24" s="43" t="inlineStr">
        <is>
          <t>Não</t>
        </is>
      </c>
      <c r="K24" s="43" t="n"/>
    </row>
    <row r="25">
      <c r="A25" s="53" t="inlineStr">
        <is>
          <t>Larissa</t>
        </is>
      </c>
      <c r="B25" s="43" t="inlineStr">
        <is>
          <t>Foz do Iguaçu</t>
        </is>
      </c>
      <c r="C25" s="43" t="n">
        <v>2</v>
      </c>
      <c r="D25" s="43">
        <f>IFERROR(IF(INDEX('Form 1 - Município'!D2:D500, MATCH(B25&amp;C25, INDEX('Form 1 - Município'!B2:B500&amp;'Form 1 - Município'!C2:C500, 0), 0))="", "", INDEX('Form 1 - Município'!D2:D500, MATCH(B25&amp;C25, INDEX('Form 1 - Município'!B2:B500&amp;'Form 1 - Município'!C2:C500, 0), 0))), "")</f>
        <v/>
      </c>
      <c r="E25" s="44" t="inlineStr">
        <is>
          <t>Enviado</t>
        </is>
      </c>
      <c r="F25" s="43" t="inlineStr">
        <is>
          <t>15/07/2025</t>
        </is>
      </c>
      <c r="G25" s="54" t="inlineStr">
        <is>
          <t>Sim</t>
        </is>
      </c>
      <c r="H25" s="43" t="inlineStr">
        <is>
          <t>corrigir caminhao semi compactador</t>
        </is>
      </c>
      <c r="I25" s="43" t="n"/>
      <c r="J25" s="43" t="inlineStr">
        <is>
          <t>Não</t>
        </is>
      </c>
      <c r="K25" s="43" t="n"/>
    </row>
    <row r="26">
      <c r="A26" s="53" t="inlineStr">
        <is>
          <t>Larissa</t>
        </is>
      </c>
      <c r="B26" s="43" t="inlineStr">
        <is>
          <t>Foz do Iguaçu</t>
        </is>
      </c>
      <c r="C26" s="43" t="n">
        <v>3</v>
      </c>
      <c r="D26" s="43">
        <f>IFERROR(IF(INDEX('Form 1 - Município'!D2:D500, MATCH(B26&amp;C26, INDEX('Form 1 - Município'!B2:B500&amp;'Form 1 - Município'!C2:C500, 0), 0))="", "", INDEX('Form 1 - Município'!D2:D500, MATCH(B26&amp;C26, INDEX('Form 1 - Município'!B2:B500&amp;'Form 1 - Município'!C2:C500, 0), 0))), "")</f>
        <v/>
      </c>
      <c r="E26" s="44" t="inlineStr">
        <is>
          <t>Enviado</t>
        </is>
      </c>
      <c r="F26" s="43" t="inlineStr">
        <is>
          <t>14/04/2025</t>
        </is>
      </c>
      <c r="G26" s="54" t="inlineStr">
        <is>
          <t>Sim</t>
        </is>
      </c>
      <c r="H26" s="43" t="inlineStr">
        <is>
          <t>corrigir esteira de triagem elevação</t>
        </is>
      </c>
      <c r="I26" s="43" t="n"/>
      <c r="J26" s="43" t="inlineStr">
        <is>
          <t>Não</t>
        </is>
      </c>
      <c r="K26" s="43" t="n"/>
    </row>
    <row r="27">
      <c r="A27" s="53" t="inlineStr">
        <is>
          <t>Larissa</t>
        </is>
      </c>
      <c r="B27" s="43" t="inlineStr">
        <is>
          <t>Foz do Iguaçu</t>
        </is>
      </c>
      <c r="C27" s="43" t="n">
        <v>4</v>
      </c>
      <c r="D27" s="43">
        <f>IFERROR(IF(INDEX('Form 1 - Município'!D2:D500, MATCH(B27&amp;C27, INDEX('Form 1 - Município'!B2:B500&amp;'Form 1 - Município'!C2:C500, 0), 0))="", "", INDEX('Form 1 - Município'!D2:D500, MATCH(B27&amp;C27, INDEX('Form 1 - Município'!B2:B500&amp;'Form 1 - Município'!C2:C500, 0), 0))), "")</f>
        <v/>
      </c>
      <c r="E27" s="44" t="inlineStr">
        <is>
          <t>Enviado</t>
        </is>
      </c>
      <c r="F27" s="43" t="inlineStr">
        <is>
          <t>10/04/2025</t>
        </is>
      </c>
      <c r="G27" s="54" t="inlineStr">
        <is>
          <t>Sim</t>
        </is>
      </c>
      <c r="H27" s="43" t="inlineStr">
        <is>
          <t>corrigir quantidade de elevador de fardo</t>
        </is>
      </c>
      <c r="I27" s="43" t="n"/>
      <c r="J27" s="43" t="inlineStr">
        <is>
          <t>Não</t>
        </is>
      </c>
      <c r="K27" s="43" t="n"/>
    </row>
    <row r="28">
      <c r="A28" s="53" t="inlineStr">
        <is>
          <t>Larissa</t>
        </is>
      </c>
      <c r="B28" s="43" t="inlineStr">
        <is>
          <t>Foz do Iguaçu</t>
        </is>
      </c>
      <c r="C28" s="43" t="n">
        <v>5</v>
      </c>
      <c r="D28" s="43">
        <f>IFERROR(IF(INDEX('Form 1 - Município'!D2:D500, MATCH(B28&amp;C28, INDEX('Form 1 - Município'!B2:B500&amp;'Form 1 - Município'!C2:C500, 0), 0))="", "", INDEX('Form 1 - Município'!D2:D500, MATCH(B28&amp;C28, INDEX('Form 1 - Município'!B2:B500&amp;'Form 1 - Município'!C2:C500, 0), 0))), "")</f>
        <v/>
      </c>
      <c r="E28" s="44" t="inlineStr">
        <is>
          <t>Enviado</t>
        </is>
      </c>
      <c r="F28" s="43" t="inlineStr">
        <is>
          <t>03/07/2025</t>
        </is>
      </c>
      <c r="G28" s="54" t="inlineStr">
        <is>
          <t>Sim</t>
        </is>
      </c>
      <c r="H28" s="43" t="n"/>
      <c r="I28" s="43" t="n"/>
      <c r="J28" s="43" t="inlineStr">
        <is>
          <t>Não</t>
        </is>
      </c>
      <c r="K28" s="43" t="n"/>
    </row>
    <row r="29">
      <c r="A29" s="53" t="inlineStr">
        <is>
          <t>Larissa</t>
        </is>
      </c>
      <c r="B29" s="43" t="inlineStr">
        <is>
          <t>Foz do Iguaçu</t>
        </is>
      </c>
      <c r="C29" s="43" t="n">
        <v>6</v>
      </c>
      <c r="D29" s="43">
        <f>IFERROR(IF(INDEX('Form 1 - Município'!D2:D500, MATCH(B29&amp;C29, INDEX('Form 1 - Município'!B2:B500&amp;'Form 1 - Município'!C2:C500, 0), 0))="", "", INDEX('Form 1 - Município'!D2:D500, MATCH(B29&amp;C29, INDEX('Form 1 - Município'!B2:B500&amp;'Form 1 - Município'!C2:C500, 0), 0))), "")</f>
        <v/>
      </c>
      <c r="E29" s="44" t="inlineStr">
        <is>
          <t>Enviado</t>
        </is>
      </c>
      <c r="F29" s="43" t="inlineStr">
        <is>
          <t>20/03/2025</t>
        </is>
      </c>
      <c r="G29" s="54" t="inlineStr">
        <is>
          <t>Sim</t>
        </is>
      </c>
      <c r="H29" s="43" t="inlineStr">
        <is>
          <t>Está ok</t>
        </is>
      </c>
      <c r="I29" s="43" t="n"/>
      <c r="J29" s="43" t="inlineStr">
        <is>
          <t>Não</t>
        </is>
      </c>
      <c r="K29" s="43" t="n"/>
    </row>
    <row r="30">
      <c r="A30" s="53" t="inlineStr">
        <is>
          <t>Larissa</t>
        </is>
      </c>
      <c r="B30" s="43" t="inlineStr">
        <is>
          <t>Foz do Iguaçu</t>
        </is>
      </c>
      <c r="C30" s="43" t="n">
        <v>7</v>
      </c>
      <c r="D30" s="43">
        <f>IFERROR(IF(INDEX('Form 1 - Município'!D2:D500, MATCH(B30&amp;C30, INDEX('Form 1 - Município'!B2:B500&amp;'Form 1 - Município'!C2:C500, 0), 0))="", "", INDEX('Form 1 - Município'!D2:D500, MATCH(B30&amp;C30, INDEX('Form 1 - Município'!B2:B500&amp;'Form 1 - Município'!C2:C500, 0), 0))), "")</f>
        <v/>
      </c>
      <c r="E30" s="44" t="inlineStr">
        <is>
          <t>Enviado</t>
        </is>
      </c>
      <c r="F30" s="43" t="inlineStr">
        <is>
          <t>27/03/2025</t>
        </is>
      </c>
      <c r="G30" s="54" t="inlineStr">
        <is>
          <t>Sim</t>
        </is>
      </c>
      <c r="H30" s="43" t="inlineStr">
        <is>
          <t>Está ok</t>
        </is>
      </c>
      <c r="I30" s="43" t="n"/>
      <c r="J30" s="43" t="inlineStr">
        <is>
          <t>Não</t>
        </is>
      </c>
      <c r="K30" s="43" t="n"/>
    </row>
    <row r="31">
      <c r="A31" s="53" t="inlineStr">
        <is>
          <t>Larissa</t>
        </is>
      </c>
      <c r="B31" s="43" t="inlineStr">
        <is>
          <t>Foz do Iguaçu</t>
        </is>
      </c>
      <c r="C31" s="43" t="n">
        <v>8</v>
      </c>
      <c r="D31" s="43">
        <f>IFERROR(IF(INDEX('Form 1 - Município'!D2:D500, MATCH(B31&amp;C31, INDEX('Form 1 - Município'!B2:B500&amp;'Form 1 - Município'!C2:C500, 0), 0))="", "", INDEX('Form 1 - Município'!D2:D500, MATCH(B31&amp;C31, INDEX('Form 1 - Município'!B2:B500&amp;'Form 1 - Município'!C2:C500, 0), 0))), "")</f>
        <v/>
      </c>
      <c r="E31" s="44" t="inlineStr">
        <is>
          <t>Enviado</t>
        </is>
      </c>
      <c r="F31" s="43" t="inlineStr">
        <is>
          <t>25/03/2025</t>
        </is>
      </c>
      <c r="G31" s="54" t="inlineStr">
        <is>
          <t>Sim</t>
        </is>
      </c>
      <c r="H31" s="43" t="inlineStr">
        <is>
          <t>Está ok</t>
        </is>
      </c>
      <c r="I31" s="43" t="n"/>
      <c r="J31" s="43" t="inlineStr">
        <is>
          <t>Não</t>
        </is>
      </c>
      <c r="K31" s="43" t="n"/>
    </row>
    <row r="32">
      <c r="A32" s="53" t="inlineStr">
        <is>
          <t>Larissa</t>
        </is>
      </c>
      <c r="B32" s="43" t="inlineStr">
        <is>
          <t>Foz do Iguaçu</t>
        </is>
      </c>
      <c r="C32" s="43" t="n">
        <v>9</v>
      </c>
      <c r="D32" s="43">
        <f>IFERROR(IF(INDEX('Form 1 - Município'!D2:D500, MATCH(B32&amp;C32, INDEX('Form 1 - Município'!B2:B500&amp;'Form 1 - Município'!C2:C500, 0), 0))="", "", INDEX('Form 1 - Município'!D2:D500, MATCH(B32&amp;C32, INDEX('Form 1 - Município'!B2:B500&amp;'Form 1 - Município'!C2:C500, 0), 0))), "")</f>
        <v/>
      </c>
      <c r="E32" s="44" t="inlineStr">
        <is>
          <t>Enviado</t>
        </is>
      </c>
      <c r="F32" s="43" t="inlineStr">
        <is>
          <t>16/07/2025</t>
        </is>
      </c>
      <c r="G32" s="54" t="inlineStr">
        <is>
          <t>Sim</t>
        </is>
      </c>
      <c r="H32" s="43" t="n"/>
      <c r="I32" s="43" t="n"/>
      <c r="J32" s="43" t="inlineStr">
        <is>
          <t>Não</t>
        </is>
      </c>
      <c r="K32" s="43" t="n"/>
    </row>
    <row r="33">
      <c r="A33" s="42" t="inlineStr">
        <is>
          <t>Gabriel</t>
        </is>
      </c>
      <c r="B33" s="43" t="inlineStr">
        <is>
          <t>Francisco Alves</t>
        </is>
      </c>
      <c r="C33" s="43" t="n">
        <v>1</v>
      </c>
      <c r="D33" s="43">
        <f>IFERROR(IF(INDEX('Form 1 - Município'!D2:D500, MATCH(B33&amp;C33, INDEX('Form 1 - Município'!B2:B500&amp;'Form 1 - Município'!C2:C500, 0), 0))="", "", INDEX('Form 1 - Município'!D2:D500, MATCH(B33&amp;C33, INDEX('Form 1 - Município'!B2:B500&amp;'Form 1 - Município'!C2:C500, 0), 0))), "")</f>
        <v/>
      </c>
      <c r="E33" s="47" t="inlineStr">
        <is>
          <t>Atrasado</t>
        </is>
      </c>
      <c r="F33" s="43" t="n"/>
      <c r="G33" s="55" t="inlineStr">
        <is>
          <t>Não</t>
        </is>
      </c>
      <c r="H33" s="43" t="n"/>
      <c r="I33" s="43" t="n"/>
      <c r="J33" s="43" t="inlineStr">
        <is>
          <t>Não</t>
        </is>
      </c>
      <c r="K33" s="43" t="n"/>
    </row>
    <row r="34">
      <c r="A34" s="42" t="inlineStr">
        <is>
          <t>Gabriel</t>
        </is>
      </c>
      <c r="B34" s="43" t="inlineStr">
        <is>
          <t>Guaira</t>
        </is>
      </c>
      <c r="C34" s="43" t="n">
        <v>1</v>
      </c>
      <c r="D34" s="43">
        <f>IFERROR(IF(INDEX('Form 1 - Município'!D2:D500, MATCH(B34&amp;C34, INDEX('Form 1 - Município'!B2:B500&amp;'Form 1 - Município'!C2:C500, 0), 0))="", "", INDEX('Form 1 - Município'!D2:D500, MATCH(B34&amp;C34, INDEX('Form 1 - Município'!B2:B500&amp;'Form 1 - Município'!C2:C500, 0), 0))), "")</f>
        <v/>
      </c>
      <c r="E34" s="47" t="inlineStr">
        <is>
          <t>Atrasado</t>
        </is>
      </c>
      <c r="F34" s="43" t="n"/>
      <c r="G34" s="55" t="inlineStr">
        <is>
          <t>Não</t>
        </is>
      </c>
      <c r="H34" s="43" t="n"/>
      <c r="I34" s="43" t="n"/>
      <c r="J34" s="43" t="inlineStr">
        <is>
          <t>Não</t>
        </is>
      </c>
      <c r="K34" s="43" t="n"/>
    </row>
    <row r="35">
      <c r="A35" s="46" t="inlineStr">
        <is>
          <t>Bianca</t>
        </is>
      </c>
      <c r="B35" s="43" t="inlineStr">
        <is>
          <t>Guaraniacu</t>
        </is>
      </c>
      <c r="C35" s="43" t="n">
        <v>1</v>
      </c>
      <c r="D35" s="43">
        <f>IFERROR(IF(INDEX('Form 1 - Município'!D2:D500, MATCH(B35&amp;C35, INDEX('Form 1 - Município'!B2:B500&amp;'Form 1 - Município'!C2:C500, 0), 0))="", "", INDEX('Form 1 - Município'!D2:D500, MATCH(B35&amp;C35, INDEX('Form 1 - Município'!B2:B500&amp;'Form 1 - Município'!C2:C500, 0), 0))), "")</f>
        <v/>
      </c>
      <c r="E35" s="44" t="inlineStr">
        <is>
          <t>Enviado</t>
        </is>
      </c>
      <c r="F35" s="43" t="inlineStr">
        <is>
          <t>08/03/2025</t>
        </is>
      </c>
      <c r="G35" s="54" t="inlineStr">
        <is>
          <t>Sim</t>
        </is>
      </c>
      <c r="H35" s="43" t="n"/>
      <c r="I35" s="43" t="n"/>
      <c r="J35" s="43" t="inlineStr">
        <is>
          <t>Não</t>
        </is>
      </c>
      <c r="K35" s="43" t="n"/>
    </row>
    <row r="36">
      <c r="A36" s="46" t="inlineStr">
        <is>
          <t>Bianca</t>
        </is>
      </c>
      <c r="B36" s="43" t="inlineStr">
        <is>
          <t>Ibema</t>
        </is>
      </c>
      <c r="C36" s="43" t="n">
        <v>1</v>
      </c>
      <c r="D36" s="43">
        <f>IFERROR(IF(INDEX('Form 1 - Município'!D2:D500, MATCH(B36&amp;C36, INDEX('Form 1 - Município'!B2:B500&amp;'Form 1 - Município'!C2:C500, 0), 0))="", "", INDEX('Form 1 - Município'!D2:D500, MATCH(B36&amp;C36, INDEX('Form 1 - Município'!B2:B500&amp;'Form 1 - Município'!C2:C500, 0), 0))), "")</f>
        <v/>
      </c>
      <c r="E36" s="44" t="inlineStr">
        <is>
          <t>Enviado</t>
        </is>
      </c>
      <c r="F36" s="43" t="inlineStr">
        <is>
          <t>24/03/2025</t>
        </is>
      </c>
      <c r="G36" s="54" t="inlineStr">
        <is>
          <t>Sim</t>
        </is>
      </c>
      <c r="H36" s="43" t="n"/>
      <c r="I36" s="43" t="n"/>
      <c r="J36" s="43" t="inlineStr">
        <is>
          <t>Não</t>
        </is>
      </c>
      <c r="K36" s="43" t="n"/>
    </row>
    <row r="37">
      <c r="A37" s="46" t="inlineStr">
        <is>
          <t>Bianca</t>
        </is>
      </c>
      <c r="B37" s="43" t="inlineStr">
        <is>
          <t>Iguatu</t>
        </is>
      </c>
      <c r="C37" s="43" t="n">
        <v>1</v>
      </c>
      <c r="D37" s="43">
        <f>IFERROR(IF(INDEX('Form 1 - Município'!D2:D500, MATCH(B37&amp;C37, INDEX('Form 1 - Município'!B2:B500&amp;'Form 1 - Município'!C2:C500, 0), 0))="", "", INDEX('Form 1 - Município'!D2:D500, MATCH(B37&amp;C37, INDEX('Form 1 - Município'!B2:B500&amp;'Form 1 - Município'!C2:C500, 0), 0))), "")</f>
        <v/>
      </c>
      <c r="E37" s="44" t="inlineStr">
        <is>
          <t>Enviado</t>
        </is>
      </c>
      <c r="F37" s="43" t="inlineStr">
        <is>
          <t>28/02/2025</t>
        </is>
      </c>
      <c r="G37" s="54" t="inlineStr">
        <is>
          <t>Sim</t>
        </is>
      </c>
      <c r="H37" s="43" t="n"/>
      <c r="I37" s="43" t="n"/>
      <c r="J37" s="43" t="inlineStr">
        <is>
          <t>Não</t>
        </is>
      </c>
      <c r="K37" s="43" t="n"/>
    </row>
    <row r="38">
      <c r="A38" s="49" t="inlineStr">
        <is>
          <t>Gustavo</t>
        </is>
      </c>
      <c r="B38" s="43" t="inlineStr">
        <is>
          <t>Iracema do Oeste</t>
        </is>
      </c>
      <c r="C38" s="43" t="n">
        <v>1</v>
      </c>
      <c r="D38" s="43">
        <f>IFERROR(IF(INDEX('Form 1 - Município'!D2:D500, MATCH(B38&amp;C38, INDEX('Form 1 - Município'!B2:B500&amp;'Form 1 - Município'!C2:C500, 0), 0))="", "", INDEX('Form 1 - Município'!D2:D500, MATCH(B38&amp;C38, INDEX('Form 1 - Município'!B2:B500&amp;'Form 1 - Município'!C2:C500, 0), 0))), "")</f>
        <v/>
      </c>
      <c r="E38" s="44" t="inlineStr">
        <is>
          <t>Enviado</t>
        </is>
      </c>
      <c r="F38" s="43" t="inlineStr">
        <is>
          <t>19/03/2025</t>
        </is>
      </c>
      <c r="G38" s="55" t="inlineStr">
        <is>
          <t>Não</t>
        </is>
      </c>
      <c r="H38" s="43" t="n"/>
      <c r="I38" s="43" t="n"/>
      <c r="J38" s="43" t="inlineStr">
        <is>
          <t>Não</t>
        </is>
      </c>
      <c r="K38" s="43" t="n"/>
    </row>
    <row r="39">
      <c r="A39" s="52" t="inlineStr">
        <is>
          <t>Luana</t>
        </is>
      </c>
      <c r="B39" s="43" t="inlineStr">
        <is>
          <t>Itaipulândia</t>
        </is>
      </c>
      <c r="C39" s="43" t="n">
        <v>1</v>
      </c>
      <c r="D39" s="43">
        <f>IFERROR(IF(INDEX('Form 1 - Município'!D2:D500, MATCH(B39&amp;C39, INDEX('Form 1 - Município'!B2:B500&amp;'Form 1 - Município'!C2:C500, 0), 0))="", "", INDEX('Form 1 - Município'!D2:D500, MATCH(B39&amp;C39, INDEX('Form 1 - Município'!B2:B500&amp;'Form 1 - Município'!C2:C500, 0), 0))), "")</f>
        <v/>
      </c>
      <c r="E39" s="44" t="inlineStr">
        <is>
          <t>Enviado</t>
        </is>
      </c>
      <c r="F39" s="43" t="inlineStr">
        <is>
          <t>27/03/2025</t>
        </is>
      </c>
      <c r="G39" s="54" t="inlineStr">
        <is>
          <t>Sim</t>
        </is>
      </c>
      <c r="H39" s="43" t="n"/>
      <c r="I39" s="43" t="n"/>
      <c r="J39" s="43" t="inlineStr">
        <is>
          <t>Não</t>
        </is>
      </c>
      <c r="K39" s="43" t="n"/>
    </row>
    <row r="40">
      <c r="A40" s="49" t="inlineStr">
        <is>
          <t>Gustavo</t>
        </is>
      </c>
      <c r="B40" s="43" t="inlineStr">
        <is>
          <t>Jesuítas</t>
        </is>
      </c>
      <c r="C40" s="43" t="n">
        <v>1</v>
      </c>
      <c r="D40" s="43">
        <f>IFERROR(IF(INDEX('Form 1 - Município'!D2:D500, MATCH(B40&amp;C40, INDEX('Form 1 - Município'!B2:B500&amp;'Form 1 - Município'!C2:C500, 0), 0))="", "", INDEX('Form 1 - Município'!D2:D500, MATCH(B40&amp;C40, INDEX('Form 1 - Município'!B2:B500&amp;'Form 1 - Município'!C2:C500, 0), 0))), "")</f>
        <v/>
      </c>
      <c r="E40" s="47" t="inlineStr">
        <is>
          <t>Atrasado</t>
        </is>
      </c>
      <c r="F40" s="43" t="n"/>
      <c r="G40" s="55" t="inlineStr">
        <is>
          <t>Não</t>
        </is>
      </c>
      <c r="H40" s="43" t="n"/>
      <c r="I40" s="43" t="n"/>
      <c r="J40" s="43" t="inlineStr">
        <is>
          <t>Não</t>
        </is>
      </c>
      <c r="K40" s="43" t="n"/>
    </row>
    <row r="41">
      <c r="A41" s="50" t="inlineStr">
        <is>
          <t>Valquiria</t>
        </is>
      </c>
      <c r="B41" s="43" t="inlineStr">
        <is>
          <t>Lindoeste</t>
        </is>
      </c>
      <c r="C41" s="43" t="n">
        <v>1</v>
      </c>
      <c r="D41" s="43">
        <f>IFERROR(IF(INDEX('Form 1 - Município'!D2:D500, MATCH(B41&amp;C41, INDEX('Form 1 - Município'!B2:B500&amp;'Form 1 - Município'!C2:C500, 0), 0))="", "", INDEX('Form 1 - Município'!D2:D500, MATCH(B41&amp;C41, INDEX('Form 1 - Município'!B2:B500&amp;'Form 1 - Município'!C2:C500, 0), 0))), "")</f>
        <v/>
      </c>
      <c r="E41" s="47" t="inlineStr">
        <is>
          <t>Atrasado</t>
        </is>
      </c>
      <c r="F41" s="43" t="n"/>
      <c r="G41" s="55" t="inlineStr">
        <is>
          <t>Não</t>
        </is>
      </c>
      <c r="H41" s="43" t="n"/>
      <c r="I41" s="43" t="n"/>
      <c r="J41" s="43" t="inlineStr">
        <is>
          <t>Não</t>
        </is>
      </c>
      <c r="K41" s="43" t="n"/>
    </row>
    <row r="42">
      <c r="A42" s="52" t="inlineStr">
        <is>
          <t>Luana</t>
        </is>
      </c>
      <c r="B42" s="43" t="inlineStr">
        <is>
          <t>Marechal Candido Rondon</t>
        </is>
      </c>
      <c r="C42" s="43" t="n">
        <v>1</v>
      </c>
      <c r="D42" s="43">
        <f>IFERROR(IF(INDEX('Form 1 - Município'!D2:D500, MATCH(B42&amp;C42, INDEX('Form 1 - Município'!B2:B500&amp;'Form 1 - Município'!C2:C500, 0), 0))="", "", INDEX('Form 1 - Município'!D2:D500, MATCH(B42&amp;C42, INDEX('Form 1 - Município'!B2:B500&amp;'Form 1 - Município'!C2:C500, 0), 0))), "")</f>
        <v/>
      </c>
      <c r="E42" s="44" t="inlineStr">
        <is>
          <t>Enviado</t>
        </is>
      </c>
      <c r="F42" s="43" t="inlineStr">
        <is>
          <t>04/04/2025</t>
        </is>
      </c>
      <c r="G42" s="54" t="inlineStr">
        <is>
          <t>Sim</t>
        </is>
      </c>
      <c r="H42" s="43" t="n"/>
      <c r="I42" s="43" t="n"/>
      <c r="J42" s="43" t="inlineStr">
        <is>
          <t>Não</t>
        </is>
      </c>
      <c r="K42" s="43" t="n"/>
    </row>
    <row r="43">
      <c r="A43" s="52" t="inlineStr">
        <is>
          <t>Luana</t>
        </is>
      </c>
      <c r="B43" s="43" t="inlineStr">
        <is>
          <t>Marechal Candido Rondon</t>
        </is>
      </c>
      <c r="C43" s="43" t="n">
        <v>2</v>
      </c>
      <c r="D43" s="43">
        <f>IFERROR(IF(INDEX('Form 1 - Município'!D2:D500, MATCH(B43&amp;C43, INDEX('Form 1 - Município'!B2:B500&amp;'Form 1 - Município'!C2:C500, 0), 0))="", "", INDEX('Form 1 - Município'!D2:D500, MATCH(B43&amp;C43, INDEX('Form 1 - Município'!B2:B500&amp;'Form 1 - Município'!C2:C500, 0), 0))), "")</f>
        <v/>
      </c>
      <c r="E43" s="44" t="inlineStr">
        <is>
          <t>Enviado</t>
        </is>
      </c>
      <c r="F43" s="43" t="inlineStr">
        <is>
          <t>04/04/2025</t>
        </is>
      </c>
      <c r="G43" s="54" t="inlineStr">
        <is>
          <t>Sim</t>
        </is>
      </c>
      <c r="H43" s="43" t="n"/>
      <c r="I43" s="43" t="n"/>
      <c r="J43" s="43" t="inlineStr">
        <is>
          <t>Não</t>
        </is>
      </c>
      <c r="K43" s="43" t="n"/>
    </row>
    <row r="44">
      <c r="A44" s="49" t="inlineStr">
        <is>
          <t>Gustavo</t>
        </is>
      </c>
      <c r="B44" s="43" t="inlineStr">
        <is>
          <t>Maripa</t>
        </is>
      </c>
      <c r="C44" s="43" t="n">
        <v>1</v>
      </c>
      <c r="D44" s="43">
        <f>IFERROR(IF(INDEX('Form 1 - Município'!D2:D500, MATCH(B44&amp;C44, INDEX('Form 1 - Município'!B2:B500&amp;'Form 1 - Município'!C2:C500, 0), 0))="", "", INDEX('Form 1 - Município'!D2:D500, MATCH(B44&amp;C44, INDEX('Form 1 - Município'!B2:B500&amp;'Form 1 - Município'!C2:C500, 0), 0))), "")</f>
        <v/>
      </c>
      <c r="E44" s="44" t="inlineStr">
        <is>
          <t>Enviado</t>
        </is>
      </c>
      <c r="F44" s="43" t="inlineStr">
        <is>
          <t>11/11/2025</t>
        </is>
      </c>
      <c r="G44" s="55" t="inlineStr">
        <is>
          <t>Não</t>
        </is>
      </c>
      <c r="H44" s="43" t="n"/>
      <c r="I44" s="43" t="n"/>
      <c r="J44" s="43" t="inlineStr">
        <is>
          <t>Não</t>
        </is>
      </c>
      <c r="K44" s="43" t="n"/>
    </row>
    <row r="45">
      <c r="A45" s="52" t="inlineStr">
        <is>
          <t>Luana</t>
        </is>
      </c>
      <c r="B45" s="43" t="inlineStr">
        <is>
          <t>Matelândia</t>
        </is>
      </c>
      <c r="C45" s="43" t="n">
        <v>1</v>
      </c>
      <c r="D45" s="43">
        <f>IFERROR(IF(INDEX('Form 1 - Município'!D2:D500, MATCH(B45&amp;C45, INDEX('Form 1 - Município'!B2:B500&amp;'Form 1 - Município'!C2:C500, 0), 0))="", "", INDEX('Form 1 - Município'!D2:D500, MATCH(B45&amp;C45, INDEX('Form 1 - Município'!B2:B500&amp;'Form 1 - Município'!C2:C500, 0), 0))), "")</f>
        <v/>
      </c>
      <c r="E45" s="44" t="inlineStr">
        <is>
          <t>Enviado</t>
        </is>
      </c>
      <c r="F45" s="43" t="inlineStr">
        <is>
          <t>02/04/2025</t>
        </is>
      </c>
      <c r="G45" s="54" t="inlineStr">
        <is>
          <t>Sim</t>
        </is>
      </c>
      <c r="H45" s="43" t="n"/>
      <c r="I45" s="43" t="n"/>
      <c r="J45" s="43" t="inlineStr">
        <is>
          <t>Não</t>
        </is>
      </c>
      <c r="K45" s="43" t="n"/>
    </row>
    <row r="46">
      <c r="A46" s="53" t="inlineStr">
        <is>
          <t>Larissa</t>
        </is>
      </c>
      <c r="B46" s="43" t="inlineStr">
        <is>
          <t>Medianeira</t>
        </is>
      </c>
      <c r="C46" s="43" t="n">
        <v>1</v>
      </c>
      <c r="D46" s="43">
        <f>IFERROR(IF(INDEX('Form 1 - Município'!D2:D500, MATCH(B46&amp;C46, INDEX('Form 1 - Município'!B2:B500&amp;'Form 1 - Município'!C2:C500, 0), 0))="", "", INDEX('Form 1 - Município'!D2:D500, MATCH(B46&amp;C46, INDEX('Form 1 - Município'!B2:B500&amp;'Form 1 - Município'!C2:C500, 0), 0))), "")</f>
        <v/>
      </c>
      <c r="E46" s="44" t="inlineStr">
        <is>
          <t>Enviado</t>
        </is>
      </c>
      <c r="F46" s="43" t="inlineStr">
        <is>
          <t>11/03/2025</t>
        </is>
      </c>
      <c r="G46" s="54" t="inlineStr">
        <is>
          <t>Sim</t>
        </is>
      </c>
      <c r="H46" s="43" t="inlineStr">
        <is>
          <t>Está ok</t>
        </is>
      </c>
      <c r="I46" s="43" t="n"/>
      <c r="J46" s="43" t="inlineStr">
        <is>
          <t>Não</t>
        </is>
      </c>
      <c r="K46" s="43" t="n"/>
    </row>
    <row r="47">
      <c r="A47" s="42" t="inlineStr">
        <is>
          <t>Gabriel</t>
        </is>
      </c>
      <c r="B47" s="43" t="inlineStr">
        <is>
          <t>Mercedes</t>
        </is>
      </c>
      <c r="C47" s="43" t="n">
        <v>1</v>
      </c>
      <c r="D47" s="43">
        <f>IFERROR(IF(INDEX('Form 1 - Município'!D2:D500, MATCH(B47&amp;C47, INDEX('Form 1 - Município'!B2:B500&amp;'Form 1 - Município'!C2:C500, 0), 0))="", "", INDEX('Form 1 - Município'!D2:D500, MATCH(B47&amp;C47, INDEX('Form 1 - Município'!B2:B500&amp;'Form 1 - Município'!C2:C500, 0), 0))), "")</f>
        <v/>
      </c>
      <c r="E47" s="44" t="inlineStr">
        <is>
          <t>Enviado</t>
        </is>
      </c>
      <c r="F47" s="43" t="inlineStr">
        <is>
          <t>26/11/2025</t>
        </is>
      </c>
      <c r="G47" s="55" t="inlineStr">
        <is>
          <t>Não</t>
        </is>
      </c>
      <c r="H47" s="43" t="n"/>
      <c r="I47" s="43" t="n"/>
      <c r="J47" s="43" t="inlineStr">
        <is>
          <t>Não</t>
        </is>
      </c>
      <c r="K47" s="43" t="n"/>
    </row>
    <row r="48">
      <c r="A48" s="52" t="inlineStr">
        <is>
          <t>Luana</t>
        </is>
      </c>
      <c r="B48" s="43" t="inlineStr">
        <is>
          <t>Missal</t>
        </is>
      </c>
      <c r="C48" s="43" t="n">
        <v>1</v>
      </c>
      <c r="D48" s="43">
        <f>IFERROR(IF(INDEX('Form 1 - Município'!D2:D500, MATCH(B48&amp;C48, INDEX('Form 1 - Município'!B2:B500&amp;'Form 1 - Município'!C2:C500, 0), 0))="", "", INDEX('Form 1 - Município'!D2:D500, MATCH(B48&amp;C48, INDEX('Form 1 - Município'!B2:B500&amp;'Form 1 - Município'!C2:C500, 0), 0))), "")</f>
        <v/>
      </c>
      <c r="E48" s="44" t="inlineStr">
        <is>
          <t>Enviado</t>
        </is>
      </c>
      <c r="F48" s="43" t="inlineStr">
        <is>
          <t>12/03/2025</t>
        </is>
      </c>
      <c r="G48" s="54" t="inlineStr">
        <is>
          <t>Sim</t>
        </is>
      </c>
      <c r="H48" s="43" t="n"/>
      <c r="I48" s="43" t="n"/>
      <c r="J48" s="43" t="inlineStr">
        <is>
          <t>Não</t>
        </is>
      </c>
      <c r="K48" s="43" t="n"/>
    </row>
    <row r="49">
      <c r="A49" s="42" t="inlineStr">
        <is>
          <t>Gabriel</t>
        </is>
      </c>
      <c r="B49" s="43" t="inlineStr">
        <is>
          <t>Mundo Novo</t>
        </is>
      </c>
      <c r="C49" s="43" t="n">
        <v>1</v>
      </c>
      <c r="D49" s="43">
        <f>IFERROR(IF(INDEX('Form 1 - Município'!D2:D500, MATCH(B49&amp;C49, INDEX('Form 1 - Município'!B2:B500&amp;'Form 1 - Município'!C2:C500, 0), 0))="", "", INDEX('Form 1 - Município'!D2:D500, MATCH(B49&amp;C49, INDEX('Form 1 - Município'!B2:B500&amp;'Form 1 - Município'!C2:C500, 0), 0))), "")</f>
        <v/>
      </c>
      <c r="E49" s="51" t="inlineStr">
        <is>
          <t>Duplicado</t>
        </is>
      </c>
      <c r="F49" s="43" t="inlineStr">
        <is>
          <t>06/08/2025, 20/08/2025</t>
        </is>
      </c>
      <c r="G49" s="55" t="inlineStr">
        <is>
          <t>Não</t>
        </is>
      </c>
      <c r="H49" s="43" t="inlineStr">
        <is>
          <t>Verificar Equipamentos I - vocês não possuem prensa HORIZONTAL, trocar para VERTICAL. e até onde me lembro uma está quebrada para manutenção, ou não?; esteiras - não possuem esteira de triagem elevada (está como elevação, mas vai ser corrigido), retirar; em outros - mesa de triagem, seria de eletronicos, se tiver mantem, se não, retirar.</t>
        </is>
      </c>
      <c r="I49" s="43" t="n"/>
      <c r="J49" s="43" t="inlineStr">
        <is>
          <t>Não</t>
        </is>
      </c>
      <c r="K49" s="43" t="n"/>
    </row>
    <row r="50">
      <c r="A50" s="49" t="inlineStr">
        <is>
          <t>Gustavo</t>
        </is>
      </c>
      <c r="B50" s="43" t="inlineStr">
        <is>
          <t>Nova Aurora</t>
        </is>
      </c>
      <c r="C50" s="43" t="n">
        <v>1</v>
      </c>
      <c r="D50" s="43">
        <f>IFERROR(IF(INDEX('Form 1 - Município'!D2:D500, MATCH(B50&amp;C50, INDEX('Form 1 - Município'!B2:B500&amp;'Form 1 - Município'!C2:C500, 0), 0))="", "", INDEX('Form 1 - Município'!D2:D500, MATCH(B50&amp;C50, INDEX('Form 1 - Município'!B2:B500&amp;'Form 1 - Município'!C2:C500, 0), 0))), "")</f>
        <v/>
      </c>
      <c r="E50" s="51" t="inlineStr">
        <is>
          <t>Duplicado</t>
        </is>
      </c>
      <c r="F50" s="43" t="inlineStr">
        <is>
          <t>16/04/2025, 30/05/2025</t>
        </is>
      </c>
      <c r="G50" s="55" t="inlineStr">
        <is>
          <t>Não</t>
        </is>
      </c>
      <c r="H50" s="43" t="n"/>
      <c r="I50" s="43" t="n"/>
      <c r="J50" s="43" t="inlineStr">
        <is>
          <t>Não</t>
        </is>
      </c>
      <c r="K50" s="43" t="n"/>
    </row>
    <row r="51">
      <c r="A51" s="42" t="inlineStr">
        <is>
          <t>Gabriel</t>
        </is>
      </c>
      <c r="B51" s="43" t="inlineStr">
        <is>
          <t>Nova Santa Rosa</t>
        </is>
      </c>
      <c r="C51" s="43" t="n">
        <v>1</v>
      </c>
      <c r="D51" s="43">
        <f>IFERROR(IF(INDEX('Form 1 - Município'!D2:D500, MATCH(B51&amp;C51, INDEX('Form 1 - Município'!B2:B500&amp;'Form 1 - Município'!C2:C500, 0), 0))="", "", INDEX('Form 1 - Município'!D2:D500, MATCH(B51&amp;C51, INDEX('Form 1 - Município'!B2:B500&amp;'Form 1 - Município'!C2:C500, 0), 0))), "")</f>
        <v/>
      </c>
      <c r="E51" s="44" t="inlineStr">
        <is>
          <t>Enviado</t>
        </is>
      </c>
      <c r="F51" s="43" t="inlineStr">
        <is>
          <t>31/03/2025</t>
        </is>
      </c>
      <c r="G51" s="54" t="inlineStr">
        <is>
          <t>Sim</t>
        </is>
      </c>
      <c r="H51" s="43" t="inlineStr">
        <is>
          <t>revisar empilhadeiras</t>
        </is>
      </c>
      <c r="I51" s="43" t="n"/>
      <c r="J51" s="43" t="inlineStr">
        <is>
          <t>Não</t>
        </is>
      </c>
      <c r="K51" s="43" t="n"/>
    </row>
    <row r="52">
      <c r="A52" s="42" t="inlineStr">
        <is>
          <t>Gabriel</t>
        </is>
      </c>
      <c r="B52" s="43" t="inlineStr">
        <is>
          <t>Ouro Verde do Oeste</t>
        </is>
      </c>
      <c r="C52" s="43" t="n">
        <v>1</v>
      </c>
      <c r="D52" s="43">
        <f>IFERROR(IF(INDEX('Form 1 - Município'!D2:D500, MATCH(B52&amp;C52, INDEX('Form 1 - Município'!B2:B500&amp;'Form 1 - Município'!C2:C500, 0), 0))="", "", INDEX('Form 1 - Município'!D2:D500, MATCH(B52&amp;C52, INDEX('Form 1 - Município'!B2:B500&amp;'Form 1 - Município'!C2:C500, 0), 0))), "")</f>
        <v/>
      </c>
      <c r="E52" s="44" t="inlineStr">
        <is>
          <t>Enviado</t>
        </is>
      </c>
      <c r="F52" s="43" t="inlineStr">
        <is>
          <t>27/03/2025</t>
        </is>
      </c>
      <c r="G52" s="54" t="inlineStr">
        <is>
          <t>Sim</t>
        </is>
      </c>
      <c r="H52" s="43" t="inlineStr">
        <is>
          <t>atualizar dimensões do terreno e construção</t>
        </is>
      </c>
      <c r="I52" s="43" t="n"/>
      <c r="J52" s="43" t="inlineStr">
        <is>
          <t>Não</t>
        </is>
      </c>
      <c r="K52" s="43" t="n"/>
    </row>
    <row r="53">
      <c r="A53" s="49" t="inlineStr">
        <is>
          <t>Gustavo</t>
        </is>
      </c>
      <c r="B53" s="43" t="inlineStr">
        <is>
          <t>Palotina</t>
        </is>
      </c>
      <c r="C53" s="43" t="n">
        <v>1</v>
      </c>
      <c r="D53" s="43">
        <f>IFERROR(IF(INDEX('Form 1 - Município'!D2:D500, MATCH(B53&amp;C53, INDEX('Form 1 - Município'!B2:B500&amp;'Form 1 - Município'!C2:C500, 0), 0))="", "", INDEX('Form 1 - Município'!D2:D500, MATCH(B53&amp;C53, INDEX('Form 1 - Município'!B2:B500&amp;'Form 1 - Município'!C2:C500, 0), 0))), "")</f>
        <v/>
      </c>
      <c r="E53" s="44" t="inlineStr">
        <is>
          <t>Enviado</t>
        </is>
      </c>
      <c r="F53" s="43" t="inlineStr">
        <is>
          <t>21/08/2025</t>
        </is>
      </c>
      <c r="G53" s="55" t="inlineStr">
        <is>
          <t>Não</t>
        </is>
      </c>
      <c r="H53" s="43" t="n"/>
      <c r="I53" s="43" t="n"/>
      <c r="J53" s="43" t="inlineStr">
        <is>
          <t>Não</t>
        </is>
      </c>
      <c r="K53" s="43" t="n"/>
    </row>
    <row r="54">
      <c r="A54" s="52" t="inlineStr">
        <is>
          <t>Luana</t>
        </is>
      </c>
      <c r="B54" s="43" t="inlineStr">
        <is>
          <t>Pato Bragado</t>
        </is>
      </c>
      <c r="C54" s="43" t="n">
        <v>1</v>
      </c>
      <c r="D54" s="43">
        <f>IFERROR(IF(INDEX('Form 1 - Município'!D2:D500, MATCH(B54&amp;C54, INDEX('Form 1 - Município'!B2:B500&amp;'Form 1 - Município'!C2:C500, 0), 0))="", "", INDEX('Form 1 - Município'!D2:D500, MATCH(B54&amp;C54, INDEX('Form 1 - Município'!B2:B500&amp;'Form 1 - Município'!C2:C500, 0), 0))), "")</f>
        <v/>
      </c>
      <c r="E54" s="44" t="inlineStr">
        <is>
          <t>Enviado</t>
        </is>
      </c>
      <c r="F54" s="43" t="inlineStr">
        <is>
          <t>05/03/2025</t>
        </is>
      </c>
      <c r="G54" s="54" t="inlineStr">
        <is>
          <t>Sim</t>
        </is>
      </c>
      <c r="H54" s="43" t="n"/>
      <c r="I54" s="43" t="n"/>
      <c r="J54" s="43" t="inlineStr">
        <is>
          <t>Não</t>
        </is>
      </c>
      <c r="K54" s="43" t="n"/>
    </row>
    <row r="55">
      <c r="A55" s="42" t="inlineStr">
        <is>
          <t>Gabriel</t>
        </is>
      </c>
      <c r="B55" s="43" t="inlineStr">
        <is>
          <t>Quatro Pontes</t>
        </is>
      </c>
      <c r="C55" s="43" t="n">
        <v>1</v>
      </c>
      <c r="D55" s="43">
        <f>IFERROR(IF(INDEX('Form 1 - Município'!D2:D500, MATCH(B55&amp;C55, INDEX('Form 1 - Município'!B2:B500&amp;'Form 1 - Município'!C2:C500, 0), 0))="", "", INDEX('Form 1 - Município'!D2:D500, MATCH(B55&amp;C55, INDEX('Form 1 - Município'!B2:B500&amp;'Form 1 - Município'!C2:C500, 0), 0))), "")</f>
        <v/>
      </c>
      <c r="E55" s="44" t="inlineStr">
        <is>
          <t>Enviado</t>
        </is>
      </c>
      <c r="F55" s="43" t="inlineStr">
        <is>
          <t>09/04/2025</t>
        </is>
      </c>
      <c r="G55" s="54" t="inlineStr">
        <is>
          <t>Sim</t>
        </is>
      </c>
      <c r="H55" s="43" t="inlineStr">
        <is>
          <t xml:space="preserve">revisar valor das despesas com coleta, está o mesmo para ambas e só a seletiva, </t>
        </is>
      </c>
      <c r="I55" s="43" t="n"/>
      <c r="J55" s="43" t="inlineStr">
        <is>
          <t>Não</t>
        </is>
      </c>
      <c r="K55" s="43" t="n"/>
    </row>
    <row r="56">
      <c r="A56" s="52" t="inlineStr">
        <is>
          <t>Luana</t>
        </is>
      </c>
      <c r="B56" s="43" t="inlineStr">
        <is>
          <t>Ramilândia</t>
        </is>
      </c>
      <c r="C56" s="43" t="n">
        <v>1</v>
      </c>
      <c r="D56" s="43">
        <f>IFERROR(IF(INDEX('Form 1 - Município'!D2:D500, MATCH(B56&amp;C56, INDEX('Form 1 - Município'!B2:B500&amp;'Form 1 - Município'!C2:C500, 0), 0))="", "", INDEX('Form 1 - Município'!D2:D500, MATCH(B56&amp;C56, INDEX('Form 1 - Município'!B2:B500&amp;'Form 1 - Município'!C2:C500, 0), 0))), "")</f>
        <v/>
      </c>
      <c r="E56" s="47" t="inlineStr">
        <is>
          <t>Atrasado</t>
        </is>
      </c>
      <c r="F56" s="43" t="n"/>
      <c r="G56" s="55" t="inlineStr">
        <is>
          <t>Não</t>
        </is>
      </c>
      <c r="H56" s="43" t="n"/>
      <c r="I56" s="43" t="n"/>
      <c r="J56" s="43" t="inlineStr">
        <is>
          <t>Não</t>
        </is>
      </c>
      <c r="K56" s="43" t="n"/>
    </row>
    <row r="57">
      <c r="A57" s="52" t="inlineStr">
        <is>
          <t>Luana</t>
        </is>
      </c>
      <c r="B57" s="43" t="inlineStr">
        <is>
          <t>Santa Helena</t>
        </is>
      </c>
      <c r="C57" s="43" t="n">
        <v>1</v>
      </c>
      <c r="D57" s="43">
        <f>IFERROR(IF(INDEX('Form 1 - Município'!D2:D500, MATCH(B57&amp;C57, INDEX('Form 1 - Município'!B2:B500&amp;'Form 1 - Município'!C2:C500, 0), 0))="", "", INDEX('Form 1 - Município'!D2:D500, MATCH(B57&amp;C57, INDEX('Form 1 - Município'!B2:B500&amp;'Form 1 - Município'!C2:C500, 0), 0))), "")</f>
        <v/>
      </c>
      <c r="E57" s="44" t="inlineStr">
        <is>
          <t>Enviado</t>
        </is>
      </c>
      <c r="F57" s="43" t="inlineStr">
        <is>
          <t>03/04/2025</t>
        </is>
      </c>
      <c r="G57" s="54" t="inlineStr">
        <is>
          <t>Sim</t>
        </is>
      </c>
      <c r="H57" s="43" t="n"/>
      <c r="I57" s="43" t="n"/>
      <c r="J57" s="43" t="inlineStr">
        <is>
          <t>Não</t>
        </is>
      </c>
      <c r="K57" s="43" t="n"/>
    </row>
    <row r="58">
      <c r="A58" s="50" t="inlineStr">
        <is>
          <t>Valquiria</t>
        </is>
      </c>
      <c r="B58" s="43" t="inlineStr">
        <is>
          <t>Santa Lúcia</t>
        </is>
      </c>
      <c r="C58" s="43" t="n">
        <v>1</v>
      </c>
      <c r="D58" s="43">
        <f>IFERROR(IF(INDEX('Form 1 - Município'!D2:D500, MATCH(B58&amp;C58, INDEX('Form 1 - Município'!B2:B500&amp;'Form 1 - Município'!C2:C500, 0), 0))="", "", INDEX('Form 1 - Município'!D2:D500, MATCH(B58&amp;C58, INDEX('Form 1 - Município'!B2:B500&amp;'Form 1 - Município'!C2:C500, 0), 0))), "")</f>
        <v/>
      </c>
      <c r="E58" s="44" t="inlineStr">
        <is>
          <t>Enviado</t>
        </is>
      </c>
      <c r="F58" s="43" t="inlineStr">
        <is>
          <t>27/03/2025</t>
        </is>
      </c>
      <c r="G58" s="54" t="inlineStr">
        <is>
          <t>Sim</t>
        </is>
      </c>
      <c r="H58" s="43" t="inlineStr">
        <is>
          <t>Pág 3, precisa incluir fotos de cada um dos ambientes da UVR - cozinha, refeitório, área de processamento...
Pág 4, estão com 3 prensas horizontais?</t>
        </is>
      </c>
      <c r="I58" s="43" t="n"/>
      <c r="J58" s="43" t="inlineStr">
        <is>
          <t>Não</t>
        </is>
      </c>
      <c r="K58" s="43" t="n"/>
    </row>
    <row r="59">
      <c r="A59" s="50" t="inlineStr">
        <is>
          <t>Valquiria</t>
        </is>
      </c>
      <c r="B59" s="43" t="inlineStr">
        <is>
          <t>Santa Tereza do Oeste</t>
        </is>
      </c>
      <c r="C59" s="43" t="n">
        <v>1</v>
      </c>
      <c r="D59" s="43">
        <f>IFERROR(IF(INDEX('Form 1 - Município'!D2:D500, MATCH(B59&amp;C59, INDEX('Form 1 - Município'!B2:B500&amp;'Form 1 - Município'!C2:C500, 0), 0))="", "", INDEX('Form 1 - Município'!D2:D500, MATCH(B59&amp;C59, INDEX('Form 1 - Município'!B2:B500&amp;'Form 1 - Município'!C2:C500, 0), 0))), "")</f>
        <v/>
      </c>
      <c r="E59" s="44" t="inlineStr">
        <is>
          <t>Enviado</t>
        </is>
      </c>
      <c r="F59" s="43" t="inlineStr">
        <is>
          <t>19/03/2025</t>
        </is>
      </c>
      <c r="G59" s="54" t="inlineStr">
        <is>
          <t>Sim</t>
        </is>
      </c>
      <c r="H59" s="43" t="n"/>
      <c r="I59" s="43" t="n"/>
      <c r="J59" s="43" t="inlineStr">
        <is>
          <t>Não</t>
        </is>
      </c>
      <c r="K59" s="43" t="n"/>
    </row>
    <row r="60">
      <c r="A60" s="53" t="inlineStr">
        <is>
          <t>Larissa</t>
        </is>
      </c>
      <c r="B60" s="43" t="inlineStr">
        <is>
          <t>Santa Terezinha de Itaipu</t>
        </is>
      </c>
      <c r="C60" s="43" t="n">
        <v>1</v>
      </c>
      <c r="D60" s="43">
        <f>IFERROR(IF(INDEX('Form 1 - Município'!D2:D500, MATCH(B60&amp;C60, INDEX('Form 1 - Município'!B2:B500&amp;'Form 1 - Município'!C2:C500, 0), 0))="", "", INDEX('Form 1 - Município'!D2:D500, MATCH(B60&amp;C60, INDEX('Form 1 - Município'!B2:B500&amp;'Form 1 - Município'!C2:C500, 0), 0))), "")</f>
        <v/>
      </c>
      <c r="E60" s="44" t="inlineStr">
        <is>
          <t>Enviado</t>
        </is>
      </c>
      <c r="F60" s="43" t="inlineStr">
        <is>
          <t>19/08/2025</t>
        </is>
      </c>
      <c r="G60" s="54" t="inlineStr">
        <is>
          <t>Sim</t>
        </is>
      </c>
      <c r="H60" s="43" t="n"/>
      <c r="I60" s="43" t="n"/>
      <c r="J60" s="43" t="inlineStr">
        <is>
          <t>Não</t>
        </is>
      </c>
      <c r="K60" s="43" t="n"/>
    </row>
    <row r="61">
      <c r="A61" s="42" t="inlineStr">
        <is>
          <t>Gabriel</t>
        </is>
      </c>
      <c r="B61" s="43" t="inlineStr">
        <is>
          <t>São Jose das Palmeiras</t>
        </is>
      </c>
      <c r="C61" s="43" t="n">
        <v>1</v>
      </c>
      <c r="D61" s="43">
        <f>IFERROR(IF(INDEX('Form 1 - Município'!D2:D500, MATCH(B61&amp;C61, INDEX('Form 1 - Município'!B2:B500&amp;'Form 1 - Município'!C2:C500, 0), 0))="", "", INDEX('Form 1 - Município'!D2:D500, MATCH(B61&amp;C61, INDEX('Form 1 - Município'!B2:B500&amp;'Form 1 - Município'!C2:C500, 0), 0))), "")</f>
        <v/>
      </c>
      <c r="E61" s="44" t="inlineStr">
        <is>
          <t>Enviado</t>
        </is>
      </c>
      <c r="F61" s="43" t="inlineStr">
        <is>
          <t>10/03/2025</t>
        </is>
      </c>
      <c r="G61" s="54" t="inlineStr">
        <is>
          <t>Sim</t>
        </is>
      </c>
      <c r="H61" s="43" t="inlineStr">
        <is>
          <t>Alterado as fotos</t>
        </is>
      </c>
      <c r="I61" s="43" t="n"/>
      <c r="J61" s="43" t="inlineStr">
        <is>
          <t>Não</t>
        </is>
      </c>
      <c r="K61" s="43" t="n"/>
    </row>
    <row r="62">
      <c r="A62" s="53" t="inlineStr">
        <is>
          <t>Larissa</t>
        </is>
      </c>
      <c r="B62" s="43" t="inlineStr">
        <is>
          <t>São Miguel do Iguaçu</t>
        </is>
      </c>
      <c r="C62" s="43" t="n">
        <v>1</v>
      </c>
      <c r="D62" s="43">
        <f>IFERROR(IF(INDEX('Form 1 - Município'!D2:D500, MATCH(B62&amp;C62, INDEX('Form 1 - Município'!B2:B500&amp;'Form 1 - Município'!C2:C500, 0), 0))="", "", INDEX('Form 1 - Município'!D2:D500, MATCH(B62&amp;C62, INDEX('Form 1 - Município'!B2:B500&amp;'Form 1 - Município'!C2:C500, 0), 0))), "")</f>
        <v/>
      </c>
      <c r="E62" s="44" t="inlineStr">
        <is>
          <t>Enviado</t>
        </is>
      </c>
      <c r="F62" s="43" t="inlineStr">
        <is>
          <t>22/04/2025</t>
        </is>
      </c>
      <c r="G62" s="54" t="inlineStr">
        <is>
          <t>Sim</t>
        </is>
      </c>
      <c r="H62" s="43" t="n"/>
      <c r="I62" s="43" t="inlineStr">
        <is>
          <t>Remover ID 195</t>
        </is>
      </c>
      <c r="J62" s="43" t="inlineStr">
        <is>
          <t>Sim</t>
        </is>
      </c>
      <c r="K62" s="43" t="inlineStr">
        <is>
          <t>Removido o 195</t>
        </is>
      </c>
    </row>
    <row r="63">
      <c r="A63" s="52" t="inlineStr">
        <is>
          <t>Luana</t>
        </is>
      </c>
      <c r="B63" s="43" t="inlineStr">
        <is>
          <t>São Pedro do Iguaçu</t>
        </is>
      </c>
      <c r="C63" s="43" t="n">
        <v>1</v>
      </c>
      <c r="D63" s="43">
        <f>IFERROR(IF(INDEX('Form 1 - Município'!D2:D500, MATCH(B63&amp;C63, INDEX('Form 1 - Município'!B2:B500&amp;'Form 1 - Município'!C2:C500, 0), 0))="", "", INDEX('Form 1 - Município'!D2:D500, MATCH(B63&amp;C63, INDEX('Form 1 - Município'!B2:B500&amp;'Form 1 - Município'!C2:C500, 0), 0))), "")</f>
        <v/>
      </c>
      <c r="E63" s="44" t="inlineStr">
        <is>
          <t>Enviado</t>
        </is>
      </c>
      <c r="F63" s="43" t="inlineStr">
        <is>
          <t>01/04/2025</t>
        </is>
      </c>
      <c r="G63" s="54" t="inlineStr">
        <is>
          <t>Sim</t>
        </is>
      </c>
      <c r="H63" s="43" t="n"/>
      <c r="I63" s="43" t="n"/>
      <c r="J63" s="43" t="inlineStr">
        <is>
          <t>Não</t>
        </is>
      </c>
      <c r="K63" s="43" t="n"/>
    </row>
    <row r="64">
      <c r="A64" s="53" t="inlineStr">
        <is>
          <t>Larissa</t>
        </is>
      </c>
      <c r="B64" s="43" t="inlineStr">
        <is>
          <t>Serranopolis do Iguaçu</t>
        </is>
      </c>
      <c r="C64" s="43" t="n">
        <v>1</v>
      </c>
      <c r="D64" s="43">
        <f>IFERROR(IF(INDEX('Form 1 - Município'!D2:D500, MATCH(B64&amp;C64, INDEX('Form 1 - Município'!B2:B500&amp;'Form 1 - Município'!C2:C500, 0), 0))="", "", INDEX('Form 1 - Município'!D2:D500, MATCH(B64&amp;C64, INDEX('Form 1 - Município'!B2:B500&amp;'Form 1 - Município'!C2:C500, 0), 0))), "")</f>
        <v/>
      </c>
      <c r="E64" s="44" t="inlineStr">
        <is>
          <t>Enviado</t>
        </is>
      </c>
      <c r="F64" s="43" t="inlineStr">
        <is>
          <t>08/04/2025</t>
        </is>
      </c>
      <c r="G64" s="54" t="inlineStr">
        <is>
          <t>Sim</t>
        </is>
      </c>
      <c r="H64" s="43" t="inlineStr">
        <is>
          <t xml:space="preserve"> Ajustas a aba 3</t>
        </is>
      </c>
      <c r="I64" s="43" t="n"/>
      <c r="J64" s="43" t="inlineStr">
        <is>
          <t>Não</t>
        </is>
      </c>
      <c r="K64" s="43" t="n"/>
    </row>
    <row r="65">
      <c r="A65" s="42" t="inlineStr">
        <is>
          <t>Gabriel</t>
        </is>
      </c>
      <c r="B65" s="43" t="inlineStr">
        <is>
          <t>Terra Roxa</t>
        </is>
      </c>
      <c r="C65" s="43" t="n">
        <v>1</v>
      </c>
      <c r="D65" s="43">
        <f>IFERROR(IF(INDEX('Form 1 - Município'!D2:D500, MATCH(B65&amp;C65, INDEX('Form 1 - Município'!B2:B500&amp;'Form 1 - Município'!C2:C500, 0), 0))="", "", INDEX('Form 1 - Município'!D2:D500, MATCH(B65&amp;C65, INDEX('Form 1 - Município'!B2:B500&amp;'Form 1 - Município'!C2:C500, 0), 0))), "")</f>
        <v/>
      </c>
      <c r="E65" s="44" t="inlineStr">
        <is>
          <t>Enviado</t>
        </is>
      </c>
      <c r="F65" s="43" t="inlineStr">
        <is>
          <t>12/05/2025</t>
        </is>
      </c>
      <c r="G65" s="54" t="inlineStr">
        <is>
          <t>Sim</t>
        </is>
      </c>
      <c r="H65" s="43" t="inlineStr">
        <is>
          <t xml:space="preserve">Refazer todas as fotos e tirar no formado horizontal; A área de processamento operacional é coberta? sim, mas as metragens estão incorretas, revisar. o caminhão é semi-compactador trocar. possui Carro de Movimentação de Big Bag, revisar quantidade!! Esteira de Triagem Elevação (aqui é para ser elevada) vocês não  possuem, retirar. </t>
        </is>
      </c>
      <c r="I65" s="43" t="inlineStr">
        <is>
          <t>ID192; ID191; ID190; ID189; ID171</t>
        </is>
      </c>
      <c r="J65" s="43" t="inlineStr">
        <is>
          <t>Sim</t>
        </is>
      </c>
      <c r="K65" s="43" t="inlineStr">
        <is>
          <t>Deletados 171;189;190;191;192</t>
        </is>
      </c>
    </row>
    <row r="66">
      <c r="A66" s="42" t="inlineStr">
        <is>
          <t>Gabriel</t>
        </is>
      </c>
      <c r="B66" s="43" t="inlineStr">
        <is>
          <t>Toledo</t>
        </is>
      </c>
      <c r="C66" s="43" t="n">
        <v>1</v>
      </c>
      <c r="D66" s="43">
        <f>IFERROR(IF(INDEX('Form 1 - Município'!D2:D500, MATCH(B66&amp;C66, INDEX('Form 1 - Município'!B2:B500&amp;'Form 1 - Município'!C2:C500, 0), 0))="", "", INDEX('Form 1 - Município'!D2:D500, MATCH(B66&amp;C66, INDEX('Form 1 - Município'!B2:B500&amp;'Form 1 - Município'!C2:C500, 0), 0))), "")</f>
        <v/>
      </c>
      <c r="E66" s="44" t="inlineStr">
        <is>
          <t>Enviado</t>
        </is>
      </c>
      <c r="F66" s="43" t="inlineStr">
        <is>
          <t>13/11/2025</t>
        </is>
      </c>
      <c r="G66" s="55" t="inlineStr">
        <is>
          <t>Não</t>
        </is>
      </c>
      <c r="H66" s="43" t="n"/>
      <c r="I66" s="43" t="n"/>
      <c r="J66" s="43" t="inlineStr">
        <is>
          <t>Não</t>
        </is>
      </c>
      <c r="K66" s="43" t="n"/>
    </row>
    <row r="67">
      <c r="A67" s="46" t="inlineStr">
        <is>
          <t>Bianca</t>
        </is>
      </c>
      <c r="B67" s="43" t="inlineStr">
        <is>
          <t>Tres Barras do Parana</t>
        </is>
      </c>
      <c r="C67" s="43" t="n">
        <v>1</v>
      </c>
      <c r="D67" s="43">
        <f>IFERROR(IF(INDEX('Form 1 - Município'!D2:D500, MATCH(B67&amp;C67, INDEX('Form 1 - Município'!B2:B500&amp;'Form 1 - Município'!C2:C500, 0), 0))="", "", INDEX('Form 1 - Município'!D2:D500, MATCH(B67&amp;C67, INDEX('Form 1 - Município'!B2:B500&amp;'Form 1 - Município'!C2:C500, 0), 0))), "")</f>
        <v/>
      </c>
      <c r="E67" s="44" t="inlineStr">
        <is>
          <t>Enviado</t>
        </is>
      </c>
      <c r="F67" s="43" t="inlineStr">
        <is>
          <t>20/03/2025</t>
        </is>
      </c>
      <c r="G67" s="54" t="inlineStr">
        <is>
          <t>Sim</t>
        </is>
      </c>
      <c r="H67" s="43" t="inlineStr">
        <is>
          <t>Pag 3, as fotos da edificação e da área de estocagem estão ótimas, para as outras áreas precisaria de fotos mais específicas</t>
        </is>
      </c>
      <c r="I67" s="43" t="n"/>
      <c r="J67" s="43" t="inlineStr">
        <is>
          <t>Não</t>
        </is>
      </c>
      <c r="K67" s="43" t="n"/>
    </row>
    <row r="68">
      <c r="A68" s="49" t="inlineStr">
        <is>
          <t>Gustavo</t>
        </is>
      </c>
      <c r="B68" s="43" t="inlineStr">
        <is>
          <t>Tupassi</t>
        </is>
      </c>
      <c r="C68" s="43" t="n">
        <v>1</v>
      </c>
      <c r="D68" s="43">
        <f>IFERROR(IF(INDEX('Form 1 - Município'!D2:D500, MATCH(B68&amp;C68, INDEX('Form 1 - Município'!B2:B500&amp;'Form 1 - Município'!C2:C500, 0), 0))="", "", INDEX('Form 1 - Município'!D2:D500, MATCH(B68&amp;C68, INDEX('Form 1 - Município'!B2:B500&amp;'Form 1 - Município'!C2:C500, 0), 0))), "")</f>
        <v/>
      </c>
      <c r="E68" s="44" t="inlineStr">
        <is>
          <t>Enviado</t>
        </is>
      </c>
      <c r="F68" s="43" t="inlineStr">
        <is>
          <t>26/02/2025</t>
        </is>
      </c>
      <c r="G68" s="55" t="inlineStr">
        <is>
          <t>Não</t>
        </is>
      </c>
      <c r="H68" s="43" t="n"/>
      <c r="I68" s="43" t="n"/>
      <c r="J68" s="43" t="inlineStr">
        <is>
          <t>Não</t>
        </is>
      </c>
      <c r="K68" s="43" t="n"/>
    </row>
    <row r="69">
      <c r="A69" s="49" t="inlineStr">
        <is>
          <t>Gustavo</t>
        </is>
      </c>
      <c r="B69" s="43" t="inlineStr">
        <is>
          <t>Ubirata</t>
        </is>
      </c>
      <c r="C69" s="43" t="n">
        <v>1</v>
      </c>
      <c r="D69" s="43">
        <f>IFERROR(IF(INDEX('Form 1 - Município'!D2:D500, MATCH(B69&amp;C69, INDEX('Form 1 - Município'!B2:B500&amp;'Form 1 - Município'!C2:C500, 0), 0))="", "", INDEX('Form 1 - Município'!D2:D500, MATCH(B69&amp;C69, INDEX('Form 1 - Município'!B2:B500&amp;'Form 1 - Município'!C2:C500, 0), 0))), "")</f>
        <v/>
      </c>
      <c r="E69" s="44" t="inlineStr">
        <is>
          <t>Enviado</t>
        </is>
      </c>
      <c r="F69" s="43" t="inlineStr">
        <is>
          <t>16/04/2025</t>
        </is>
      </c>
      <c r="G69" s="55" t="inlineStr">
        <is>
          <t>Não</t>
        </is>
      </c>
      <c r="H69" s="43" t="n"/>
      <c r="I69" s="43" t="n"/>
      <c r="J69" s="43" t="inlineStr">
        <is>
          <t>Não</t>
        </is>
      </c>
      <c r="K69" s="43" t="n"/>
    </row>
    <row r="70">
      <c r="A70" s="52" t="inlineStr">
        <is>
          <t>Luana</t>
        </is>
      </c>
      <c r="B70" s="43" t="inlineStr">
        <is>
          <t>Vera Cruz do Oeste</t>
        </is>
      </c>
      <c r="C70" s="43" t="n">
        <v>1</v>
      </c>
      <c r="D70" s="43">
        <f>IFERROR(IF(INDEX('Form 1 - Município'!D2:D500, MATCH(B70&amp;C70, INDEX('Form 1 - Município'!B2:B500&amp;'Form 1 - Município'!C2:C500, 0), 0))="", "", INDEX('Form 1 - Município'!D2:D500, MATCH(B70&amp;C70, INDEX('Form 1 - Município'!B2:B500&amp;'Form 1 - Município'!C2:C500, 0), 0))), "")</f>
        <v/>
      </c>
      <c r="E70" s="47" t="inlineStr">
        <is>
          <t>Atrasado</t>
        </is>
      </c>
      <c r="F70" s="43" t="n"/>
      <c r="G70" s="55" t="inlineStr">
        <is>
          <t>Não</t>
        </is>
      </c>
      <c r="H70" s="43" t="n"/>
      <c r="I70" s="43" t="n"/>
      <c r="J70" s="43" t="inlineStr">
        <is>
          <t>Não</t>
        </is>
      </c>
      <c r="K70" s="43" t="n"/>
    </row>
  </sheetData>
  <autoFilter ref="A1:G1"/>
  <conditionalFormatting sqref="G2:G70">
    <cfRule type="cellIs" priority="1" operator="equal" dxfId="5" stopIfTrue="1">
      <formula>"Sim"</formula>
    </cfRule>
    <cfRule type="cellIs" priority="3" operator="equal" dxfId="6" stopIfTrue="1">
      <formula>"Não"</formula>
    </cfRule>
  </conditionalFormatting>
  <conditionalFormatting sqref="J2:J70">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70">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4" customWidth="1" min="5" max="5"/>
    <col width="27" customWidth="1" min="6" max="6"/>
    <col width="27" customWidth="1" min="7" max="7"/>
    <col width="251" customWidth="1" min="8" max="8"/>
    <col width="38" customWidth="1" min="9" max="9"/>
    <col width="25" customWidth="1" min="10" max="10"/>
    <col width="34" customWidth="1" min="11" max="11"/>
  </cols>
  <sheetData>
    <row r="1">
      <c r="A1" s="41" t="inlineStr">
        <is>
          <t>Regional</t>
        </is>
      </c>
      <c r="B1" s="41" t="inlineStr">
        <is>
          <t>Município</t>
        </is>
      </c>
      <c r="C1" s="41" t="inlineStr">
        <is>
          <t>UVR</t>
        </is>
      </c>
      <c r="D1" s="41" t="inlineStr">
        <is>
          <t>Técnico de UVR</t>
        </is>
      </c>
      <c r="E1" s="41" t="inlineStr">
        <is>
          <t>Situação</t>
        </is>
      </c>
      <c r="F1" s="41" t="inlineStr">
        <is>
          <t>Data de Envio</t>
        </is>
      </c>
      <c r="G1" s="41" t="inlineStr">
        <is>
          <t>Validado pelo Regional</t>
        </is>
      </c>
      <c r="H1" s="41" t="inlineStr">
        <is>
          <t>Observações</t>
        </is>
      </c>
      <c r="I1" s="41" t="inlineStr">
        <is>
          <t>Formulários para Deletar (ID)</t>
        </is>
      </c>
      <c r="J1" s="41" t="inlineStr">
        <is>
          <t>Validado Equip de TI</t>
        </is>
      </c>
      <c r="K1" s="41" t="inlineStr">
        <is>
          <t>Resposta Equipe de TI</t>
        </is>
      </c>
    </row>
    <row r="2">
      <c r="A2" s="42" t="inlineStr">
        <is>
          <t>Gabriel</t>
        </is>
      </c>
      <c r="B2" s="43" t="inlineStr">
        <is>
          <t>Altônia</t>
        </is>
      </c>
      <c r="C2" s="43" t="n">
        <v>1</v>
      </c>
      <c r="D2" s="43">
        <f>IFERROR(IF(INDEX('Form 1 - Município'!D2:D500, MATCH(B2&amp;C2, INDEX('Form 1 - Município'!B2:B500&amp;'Form 1 - Município'!C2:C500, 0), 0))="", "", INDEX('Form 1 - Município'!D2:D500, MATCH(B2&amp;C2, INDEX('Form 1 - Município'!B2:B500&amp;'Form 1 - Município'!C2:C500, 0), 0))), "")</f>
        <v/>
      </c>
      <c r="E2" s="47" t="inlineStr">
        <is>
          <t>Atrasado</t>
        </is>
      </c>
      <c r="F2" s="43" t="n"/>
      <c r="G2" s="55" t="inlineStr">
        <is>
          <t>Não</t>
        </is>
      </c>
      <c r="H2" s="43" t="n"/>
      <c r="I2" s="43" t="n"/>
      <c r="J2" s="43" t="inlineStr">
        <is>
          <t>Não</t>
        </is>
      </c>
      <c r="K2" s="43" t="n"/>
    </row>
    <row r="3">
      <c r="A3" s="46" t="inlineStr">
        <is>
          <t>Bianca</t>
        </is>
      </c>
      <c r="B3" s="43" t="inlineStr">
        <is>
          <t>Anahy</t>
        </is>
      </c>
      <c r="C3" s="43" t="n">
        <v>1</v>
      </c>
      <c r="D3" s="43">
        <f>IFERROR(IF(INDEX('Form 1 - Município'!D2:D500, MATCH(B3&amp;C3, INDEX('Form 1 - Município'!B2:B500&amp;'Form 1 - Município'!C2:C500, 0), 0))="", "", INDEX('Form 1 - Município'!D2:D500, MATCH(B3&amp;C3, INDEX('Form 1 - Município'!B2:B500&amp;'Form 1 - Município'!C2:C500, 0), 0))), "")</f>
        <v/>
      </c>
      <c r="E3" s="44" t="inlineStr">
        <is>
          <t>Enviado</t>
        </is>
      </c>
      <c r="F3" s="43" t="inlineStr">
        <is>
          <t>31/03/2025</t>
        </is>
      </c>
      <c r="G3" s="55" t="inlineStr">
        <is>
          <t>Não</t>
        </is>
      </c>
      <c r="H3" s="43" t="n"/>
      <c r="I3" s="43" t="n"/>
      <c r="J3" s="43" t="inlineStr">
        <is>
          <t>Não</t>
        </is>
      </c>
      <c r="K3" s="43" t="n"/>
    </row>
    <row r="4">
      <c r="A4" s="49" t="inlineStr">
        <is>
          <t>Gustavo</t>
        </is>
      </c>
      <c r="B4" s="43" t="inlineStr">
        <is>
          <t>Assis Chateaubriand</t>
        </is>
      </c>
      <c r="C4" s="43" t="n">
        <v>1</v>
      </c>
      <c r="D4" s="43">
        <f>IFERROR(IF(INDEX('Form 1 - Município'!D2:D500, MATCH(B4&amp;C4, INDEX('Form 1 - Município'!B2:B500&amp;'Form 1 - Município'!C2:C500, 0), 0))="", "", INDEX('Form 1 - Município'!D2:D500, MATCH(B4&amp;C4, INDEX('Form 1 - Município'!B2:B500&amp;'Form 1 - Município'!C2:C500, 0), 0))), "")</f>
        <v/>
      </c>
      <c r="E4" s="44" t="inlineStr">
        <is>
          <t>Enviado</t>
        </is>
      </c>
      <c r="F4" s="43" t="inlineStr">
        <is>
          <t>21/07/2025</t>
        </is>
      </c>
      <c r="G4" s="54" t="inlineStr">
        <is>
          <t>Sim</t>
        </is>
      </c>
      <c r="H4" s="43" t="inlineStr">
        <is>
          <t>ok</t>
        </is>
      </c>
      <c r="I4" s="43" t="n"/>
      <c r="J4" s="43" t="inlineStr">
        <is>
          <t>Não</t>
        </is>
      </c>
      <c r="K4" s="43" t="n"/>
    </row>
    <row r="5">
      <c r="A5" s="46" t="inlineStr">
        <is>
          <t>Bianca</t>
        </is>
      </c>
      <c r="B5" s="43" t="inlineStr">
        <is>
          <t>Boa Vista da Aparecida</t>
        </is>
      </c>
      <c r="C5" s="43" t="n">
        <v>1</v>
      </c>
      <c r="D5" s="43">
        <f>IFERROR(IF(INDEX('Form 1 - Município'!D2:D500, MATCH(B5&amp;C5, INDEX('Form 1 - Município'!B2:B500&amp;'Form 1 - Município'!C2:C500, 0), 0))="", "", INDEX('Form 1 - Município'!D2:D500, MATCH(B5&amp;C5, INDEX('Form 1 - Município'!B2:B500&amp;'Form 1 - Município'!C2:C500, 0), 0))), "")</f>
        <v/>
      </c>
      <c r="E5" s="44" t="inlineStr">
        <is>
          <t>Enviado</t>
        </is>
      </c>
      <c r="F5" s="43" t="inlineStr">
        <is>
          <t>27/03/2025</t>
        </is>
      </c>
      <c r="G5" s="54" t="inlineStr">
        <is>
          <t>Sim</t>
        </is>
      </c>
      <c r="H5" s="43" t="inlineStr">
        <is>
          <t>Verificar pág 3 (falta de documentação)</t>
        </is>
      </c>
      <c r="I5" s="43" t="n"/>
      <c r="J5" s="43" t="inlineStr">
        <is>
          <t>Não</t>
        </is>
      </c>
      <c r="K5" s="43" t="n"/>
    </row>
    <row r="6">
      <c r="A6" s="46" t="inlineStr">
        <is>
          <t>Bianca</t>
        </is>
      </c>
      <c r="B6" s="43" t="inlineStr">
        <is>
          <t>Braganey</t>
        </is>
      </c>
      <c r="C6" s="43" t="n">
        <v>1</v>
      </c>
      <c r="D6" s="43">
        <f>IFERROR(IF(INDEX('Form 1 - Município'!D2:D500, MATCH(B6&amp;C6, INDEX('Form 1 - Município'!B2:B500&amp;'Form 1 - Município'!C2:C500, 0), 0))="", "", INDEX('Form 1 - Município'!D2:D500, MATCH(B6&amp;C6, INDEX('Form 1 - Município'!B2:B500&amp;'Form 1 - Município'!C2:C500, 0), 0))), "")</f>
        <v/>
      </c>
      <c r="E6" s="44" t="inlineStr">
        <is>
          <t>Enviado</t>
        </is>
      </c>
      <c r="F6" s="43" t="inlineStr">
        <is>
          <t>09/04/2025</t>
        </is>
      </c>
      <c r="G6" s="55" t="inlineStr">
        <is>
          <t>Não</t>
        </is>
      </c>
      <c r="H6" s="43" t="n"/>
      <c r="I6" s="43" t="n"/>
      <c r="J6" s="43" t="inlineStr">
        <is>
          <t>Não</t>
        </is>
      </c>
      <c r="K6" s="43" t="n"/>
    </row>
    <row r="7">
      <c r="A7" s="49" t="inlineStr">
        <is>
          <t>Gustavo</t>
        </is>
      </c>
      <c r="B7" s="43" t="inlineStr">
        <is>
          <t>Brasilândia do Sul</t>
        </is>
      </c>
      <c r="C7" s="43" t="n">
        <v>1</v>
      </c>
      <c r="D7" s="43">
        <f>IFERROR(IF(INDEX('Form 1 - Município'!D2:D500, MATCH(B7&amp;C7, INDEX('Form 1 - Município'!B2:B500&amp;'Form 1 - Município'!C2:C500, 0), 0))="", "", INDEX('Form 1 - Município'!D2:D500, MATCH(B7&amp;C7, INDEX('Form 1 - Município'!B2:B500&amp;'Form 1 - Município'!C2:C500, 0), 0))), "")</f>
        <v/>
      </c>
      <c r="E7" s="44" t="inlineStr">
        <is>
          <t>Enviado</t>
        </is>
      </c>
      <c r="F7" s="43" t="inlineStr">
        <is>
          <t>21/03/2025</t>
        </is>
      </c>
      <c r="G7" s="54" t="inlineStr">
        <is>
          <t>Sim</t>
        </is>
      </c>
      <c r="H7" s="43" t="inlineStr">
        <is>
          <t>apenas revisar docs</t>
        </is>
      </c>
      <c r="I7" s="43" t="n"/>
      <c r="J7" s="43" t="inlineStr">
        <is>
          <t>Não</t>
        </is>
      </c>
      <c r="K7" s="43" t="n"/>
    </row>
    <row r="8">
      <c r="A8" s="49" t="inlineStr">
        <is>
          <t>Gustavo</t>
        </is>
      </c>
      <c r="B8" s="43" t="inlineStr">
        <is>
          <t>Cafelândia</t>
        </is>
      </c>
      <c r="C8" s="43" t="n">
        <v>1</v>
      </c>
      <c r="D8" s="43">
        <f>IFERROR(IF(INDEX('Form 1 - Município'!D2:D500, MATCH(B8&amp;C8, INDEX('Form 1 - Município'!B2:B500&amp;'Form 1 - Município'!C2:C500, 0), 0))="", "", INDEX('Form 1 - Município'!D2:D500, MATCH(B8&amp;C8, INDEX('Form 1 - Município'!B2:B500&amp;'Form 1 - Município'!C2:C500, 0), 0))), "")</f>
        <v/>
      </c>
      <c r="E8" s="47" t="inlineStr">
        <is>
          <t>Atrasado</t>
        </is>
      </c>
      <c r="F8" s="43" t="n"/>
      <c r="G8" s="55" t="inlineStr">
        <is>
          <t>Não</t>
        </is>
      </c>
      <c r="H8" s="43" t="n"/>
      <c r="I8" s="43" t="n"/>
      <c r="J8" s="43" t="inlineStr">
        <is>
          <t>Não</t>
        </is>
      </c>
      <c r="K8" s="43" t="n"/>
    </row>
    <row r="9">
      <c r="A9" s="46" t="inlineStr">
        <is>
          <t>Bianca</t>
        </is>
      </c>
      <c r="B9" s="43" t="inlineStr">
        <is>
          <t>Campo Bonito</t>
        </is>
      </c>
      <c r="C9" s="43" t="n">
        <v>1</v>
      </c>
      <c r="D9" s="43">
        <f>IFERROR(IF(INDEX('Form 1 - Município'!D2:D500, MATCH(B9&amp;C9, INDEX('Form 1 - Município'!B2:B500&amp;'Form 1 - Município'!C2:C500, 0), 0))="", "", INDEX('Form 1 - Município'!D2:D500, MATCH(B9&amp;C9, INDEX('Form 1 - Município'!B2:B500&amp;'Form 1 - Município'!C2:C500, 0), 0))), "")</f>
        <v/>
      </c>
      <c r="E9" s="47" t="inlineStr">
        <is>
          <t>Atrasado</t>
        </is>
      </c>
      <c r="F9" s="43" t="n"/>
      <c r="G9" s="55" t="inlineStr">
        <is>
          <t>Não</t>
        </is>
      </c>
      <c r="H9" s="43" t="n"/>
      <c r="I9" s="43" t="n"/>
      <c r="J9" s="43" t="inlineStr">
        <is>
          <t>Não</t>
        </is>
      </c>
      <c r="K9" s="43" t="n"/>
    </row>
    <row r="10">
      <c r="A10" s="50" t="inlineStr">
        <is>
          <t>Valquiria</t>
        </is>
      </c>
      <c r="B10" s="43" t="inlineStr">
        <is>
          <t>Capitão Leonidas Marques</t>
        </is>
      </c>
      <c r="C10" s="43" t="n">
        <v>1</v>
      </c>
      <c r="D10" s="43">
        <f>IFERROR(IF(INDEX('Form 1 - Município'!D2:D500, MATCH(B10&amp;C10, INDEX('Form 1 - Município'!B2:B500&amp;'Form 1 - Município'!C2:C500, 0), 0))="", "", INDEX('Form 1 - Município'!D2:D500, MATCH(B10&amp;C10, INDEX('Form 1 - Município'!B2:B500&amp;'Form 1 - Município'!C2:C500, 0), 0))), "")</f>
        <v/>
      </c>
      <c r="E10" s="44" t="inlineStr">
        <is>
          <t>Enviado</t>
        </is>
      </c>
      <c r="F10" s="43" t="inlineStr">
        <is>
          <t>06/03/2025</t>
        </is>
      </c>
      <c r="G10" s="55" t="inlineStr">
        <is>
          <t>Não</t>
        </is>
      </c>
      <c r="H10" s="43" t="n"/>
      <c r="I10" s="43" t="inlineStr">
        <is>
          <t>ID91</t>
        </is>
      </c>
      <c r="J10" s="43" t="inlineStr">
        <is>
          <t>Sim</t>
        </is>
      </c>
      <c r="K10" s="43" t="inlineStr">
        <is>
          <t>Deletado 91</t>
        </is>
      </c>
    </row>
    <row r="11">
      <c r="A11" s="50" t="inlineStr">
        <is>
          <t>Valquiria</t>
        </is>
      </c>
      <c r="B11" s="43" t="inlineStr">
        <is>
          <t>Cascavel</t>
        </is>
      </c>
      <c r="C11" s="43" t="n">
        <v>1</v>
      </c>
      <c r="D11" s="43">
        <f>IFERROR(IF(INDEX('Form 1 - Município'!D2:D500, MATCH(B11&amp;C11, INDEX('Form 1 - Município'!B2:B500&amp;'Form 1 - Município'!C2:C500, 0), 0))="", "", INDEX('Form 1 - Município'!D2:D500, MATCH(B11&amp;C11, INDEX('Form 1 - Município'!B2:B500&amp;'Form 1 - Município'!C2:C500, 0), 0))), "")</f>
        <v/>
      </c>
      <c r="E11" s="44" t="inlineStr">
        <is>
          <t>Enviado</t>
        </is>
      </c>
      <c r="F11" s="43" t="inlineStr">
        <is>
          <t>10/04/2025</t>
        </is>
      </c>
      <c r="G11" s="55" t="inlineStr">
        <is>
          <t>Não</t>
        </is>
      </c>
      <c r="H11" s="43" t="n"/>
      <c r="I11" s="43" t="n"/>
      <c r="J11" s="43" t="inlineStr">
        <is>
          <t>Não</t>
        </is>
      </c>
      <c r="K11" s="43" t="n"/>
    </row>
    <row r="12">
      <c r="A12" s="50" t="inlineStr">
        <is>
          <t>Valquiria</t>
        </is>
      </c>
      <c r="B12" s="43" t="inlineStr">
        <is>
          <t>Cascavel</t>
        </is>
      </c>
      <c r="C12" s="43" t="n">
        <v>2</v>
      </c>
      <c r="D12" s="43">
        <f>IFERROR(IF(INDEX('Form 1 - Município'!D2:D500, MATCH(B12&amp;C12, INDEX('Form 1 - Município'!B2:B500&amp;'Form 1 - Município'!C2:C500, 0), 0))="", "", INDEX('Form 1 - Município'!D2:D500, MATCH(B12&amp;C12, INDEX('Form 1 - Município'!B2:B500&amp;'Form 1 - Município'!C2:C500, 0), 0))), "")</f>
        <v/>
      </c>
      <c r="E12" s="44" t="inlineStr">
        <is>
          <t>Enviado</t>
        </is>
      </c>
      <c r="F12" s="43" t="inlineStr">
        <is>
          <t>10/04/2025</t>
        </is>
      </c>
      <c r="G12" s="55" t="inlineStr">
        <is>
          <t>Não</t>
        </is>
      </c>
      <c r="H12" s="43" t="n"/>
      <c r="I12" s="43" t="n"/>
      <c r="J12" s="43" t="inlineStr">
        <is>
          <t>Não</t>
        </is>
      </c>
      <c r="K12" s="43" t="n"/>
    </row>
    <row r="13">
      <c r="A13" s="50" t="inlineStr">
        <is>
          <t>Valquiria</t>
        </is>
      </c>
      <c r="B13" s="43" t="inlineStr">
        <is>
          <t>Cascavel</t>
        </is>
      </c>
      <c r="C13" s="43" t="n">
        <v>3</v>
      </c>
      <c r="D13" s="43">
        <f>IFERROR(IF(INDEX('Form 1 - Município'!D2:D500, MATCH(B13&amp;C13, INDEX('Form 1 - Município'!B2:B500&amp;'Form 1 - Município'!C2:C500, 0), 0))="", "", INDEX('Form 1 - Município'!D2:D500, MATCH(B13&amp;C13, INDEX('Form 1 - Município'!B2:B500&amp;'Form 1 - Município'!C2:C500, 0), 0))), "")</f>
        <v/>
      </c>
      <c r="E13" s="44" t="inlineStr">
        <is>
          <t>Enviado</t>
        </is>
      </c>
      <c r="F13" s="43" t="inlineStr">
        <is>
          <t>09/07/2025</t>
        </is>
      </c>
      <c r="G13" s="55" t="inlineStr">
        <is>
          <t>Não</t>
        </is>
      </c>
      <c r="H13" s="43" t="n"/>
      <c r="I13" s="43" t="n"/>
      <c r="J13" s="43" t="inlineStr">
        <is>
          <t>Não</t>
        </is>
      </c>
      <c r="K13" s="43" t="n"/>
    </row>
    <row r="14">
      <c r="A14" s="50" t="inlineStr">
        <is>
          <t>Valquiria</t>
        </is>
      </c>
      <c r="B14" s="43" t="inlineStr">
        <is>
          <t>Cascavel</t>
        </is>
      </c>
      <c r="C14" s="43" t="n">
        <v>4</v>
      </c>
      <c r="D14" s="43">
        <f>IFERROR(IF(INDEX('Form 1 - Município'!D2:D500, MATCH(B14&amp;C14, INDEX('Form 1 - Município'!B2:B500&amp;'Form 1 - Município'!C2:C500, 0), 0))="", "", INDEX('Form 1 - Município'!D2:D500, MATCH(B14&amp;C14, INDEX('Form 1 - Município'!B2:B500&amp;'Form 1 - Município'!C2:C500, 0), 0))), "")</f>
        <v/>
      </c>
      <c r="E14" s="51" t="inlineStr">
        <is>
          <t>Duplicado</t>
        </is>
      </c>
      <c r="F14" s="43" t="inlineStr">
        <is>
          <t>10/04/2025, 09/05/2025</t>
        </is>
      </c>
      <c r="G14" s="55" t="inlineStr">
        <is>
          <t>Não</t>
        </is>
      </c>
      <c r="H14" s="43" t="n"/>
      <c r="I14" s="43" t="n"/>
      <c r="J14" s="43" t="inlineStr">
        <is>
          <t>Não</t>
        </is>
      </c>
      <c r="K14" s="43" t="n"/>
    </row>
    <row r="15">
      <c r="A15" s="50" t="inlineStr">
        <is>
          <t>Valquiria</t>
        </is>
      </c>
      <c r="B15" s="43" t="inlineStr">
        <is>
          <t>Cascavel</t>
        </is>
      </c>
      <c r="C15" s="43" t="n">
        <v>5</v>
      </c>
      <c r="D15" s="43">
        <f>IFERROR(IF(INDEX('Form 1 - Município'!D2:D500, MATCH(B15&amp;C15, INDEX('Form 1 - Município'!B2:B500&amp;'Form 1 - Município'!C2:C500, 0), 0))="", "", INDEX('Form 1 - Município'!D2:D500, MATCH(B15&amp;C15, INDEX('Form 1 - Município'!B2:B500&amp;'Form 1 - Município'!C2:C500, 0), 0))), "")</f>
        <v/>
      </c>
      <c r="E15" s="44" t="inlineStr">
        <is>
          <t>Enviado</t>
        </is>
      </c>
      <c r="F15" s="43" t="inlineStr">
        <is>
          <t>11/04/2025</t>
        </is>
      </c>
      <c r="G15" s="55" t="inlineStr">
        <is>
          <t>Não</t>
        </is>
      </c>
      <c r="H15" s="43" t="n"/>
      <c r="I15" s="43" t="n"/>
      <c r="J15" s="43" t="inlineStr">
        <is>
          <t>Não</t>
        </is>
      </c>
      <c r="K15" s="43" t="n"/>
    </row>
    <row r="16">
      <c r="A16" s="50" t="inlineStr">
        <is>
          <t>Valquiria</t>
        </is>
      </c>
      <c r="B16" s="43" t="inlineStr">
        <is>
          <t>Cascavel</t>
        </is>
      </c>
      <c r="C16" s="43" t="n">
        <v>6</v>
      </c>
      <c r="D16" s="43">
        <f>IFERROR(IF(INDEX('Form 1 - Município'!D2:D500, MATCH(B16&amp;C16, INDEX('Form 1 - Município'!B2:B500&amp;'Form 1 - Município'!C2:C500, 0), 0))="", "", INDEX('Form 1 - Município'!D2:D500, MATCH(B16&amp;C16, INDEX('Form 1 - Município'!B2:B500&amp;'Form 1 - Município'!C2:C500, 0), 0))), "")</f>
        <v/>
      </c>
      <c r="E16" s="44" t="inlineStr">
        <is>
          <t>Enviado</t>
        </is>
      </c>
      <c r="F16" s="43" t="inlineStr">
        <is>
          <t>15/05/2025</t>
        </is>
      </c>
      <c r="G16" s="55" t="inlineStr">
        <is>
          <t>Não</t>
        </is>
      </c>
      <c r="H16" s="43" t="n"/>
      <c r="I16" s="43" t="n"/>
      <c r="J16" s="43" t="inlineStr">
        <is>
          <t>Não</t>
        </is>
      </c>
      <c r="K16" s="43" t="n"/>
    </row>
    <row r="17">
      <c r="A17" s="46" t="inlineStr">
        <is>
          <t>Bianca</t>
        </is>
      </c>
      <c r="B17" s="43" t="inlineStr">
        <is>
          <t>Catanduvas</t>
        </is>
      </c>
      <c r="C17" s="43" t="n">
        <v>1</v>
      </c>
      <c r="D17" s="43">
        <f>IFERROR(IF(INDEX('Form 1 - Município'!D2:D500, MATCH(B17&amp;C17, INDEX('Form 1 - Município'!B2:B500&amp;'Form 1 - Município'!C2:C500, 0), 0))="", "", INDEX('Form 1 - Município'!D2:D500, MATCH(B17&amp;C17, INDEX('Form 1 - Município'!B2:B500&amp;'Form 1 - Município'!C2:C500, 0), 0))), "")</f>
        <v/>
      </c>
      <c r="E17" s="44" t="inlineStr">
        <is>
          <t>Enviado</t>
        </is>
      </c>
      <c r="F17" s="43" t="inlineStr">
        <is>
          <t>20/03/2025</t>
        </is>
      </c>
      <c r="G17" s="54" t="inlineStr">
        <is>
          <t>Sim</t>
        </is>
      </c>
      <c r="H17" s="43" t="n"/>
      <c r="I17" s="43" t="n"/>
      <c r="J17" s="43" t="inlineStr">
        <is>
          <t>Não</t>
        </is>
      </c>
      <c r="K17" s="43" t="n"/>
    </row>
    <row r="18">
      <c r="A18" s="50" t="inlineStr">
        <is>
          <t>Valquiria</t>
        </is>
      </c>
      <c r="B18" s="43" t="inlineStr">
        <is>
          <t>Céu Azul</t>
        </is>
      </c>
      <c r="C18" s="43" t="n">
        <v>1</v>
      </c>
      <c r="D18" s="43">
        <f>IFERROR(IF(INDEX('Form 1 - Município'!D2:D500, MATCH(B18&amp;C18, INDEX('Form 1 - Município'!B2:B500&amp;'Form 1 - Município'!C2:C500, 0), 0))="", "", INDEX('Form 1 - Município'!D2:D500, MATCH(B18&amp;C18, INDEX('Form 1 - Município'!B2:B500&amp;'Form 1 - Município'!C2:C500, 0), 0))), "")</f>
        <v/>
      </c>
      <c r="E18" s="44" t="inlineStr">
        <is>
          <t>Enviado</t>
        </is>
      </c>
      <c r="F18" s="43" t="inlineStr">
        <is>
          <t>22/08/2025</t>
        </is>
      </c>
      <c r="G18" s="54" t="inlineStr">
        <is>
          <t>Sim</t>
        </is>
      </c>
      <c r="H18" s="43" t="n"/>
      <c r="I18" s="43" t="n"/>
      <c r="J18" s="43" t="inlineStr">
        <is>
          <t>Não</t>
        </is>
      </c>
      <c r="K18" s="43" t="n"/>
    </row>
    <row r="19">
      <c r="A19" s="46" t="inlineStr">
        <is>
          <t>Bianca</t>
        </is>
      </c>
      <c r="B19" s="43" t="inlineStr">
        <is>
          <t>Corbélia</t>
        </is>
      </c>
      <c r="C19" s="43" t="n">
        <v>1</v>
      </c>
      <c r="D19" s="43">
        <f>IFERROR(IF(INDEX('Form 1 - Município'!D2:D500, MATCH(B19&amp;C19, INDEX('Form 1 - Município'!B2:B500&amp;'Form 1 - Município'!C2:C500, 0), 0))="", "", INDEX('Form 1 - Município'!D2:D500, MATCH(B19&amp;C19, INDEX('Form 1 - Município'!B2:B500&amp;'Form 1 - Município'!C2:C500, 0), 0))), "")</f>
        <v/>
      </c>
      <c r="E19" s="47" t="inlineStr">
        <is>
          <t>Atrasado</t>
        </is>
      </c>
      <c r="F19" s="43" t="n"/>
      <c r="G19" s="55" t="inlineStr">
        <is>
          <t>Não</t>
        </is>
      </c>
      <c r="H19" s="43" t="n"/>
      <c r="I19" s="43" t="n"/>
      <c r="J19" s="43" t="inlineStr">
        <is>
          <t>Não</t>
        </is>
      </c>
      <c r="K19" s="43" t="n"/>
    </row>
    <row r="20">
      <c r="A20" s="46" t="inlineStr">
        <is>
          <t>Bianca</t>
        </is>
      </c>
      <c r="B20" s="43" t="inlineStr">
        <is>
          <t>Diamante do Sul</t>
        </is>
      </c>
      <c r="C20" s="43" t="n">
        <v>1</v>
      </c>
      <c r="D20" s="43">
        <f>IFERROR(IF(INDEX('Form 1 - Município'!D2:D500, MATCH(B20&amp;C20, INDEX('Form 1 - Município'!B2:B500&amp;'Form 1 - Município'!C2:C500, 0), 0))="", "", INDEX('Form 1 - Município'!D2:D500, MATCH(B20&amp;C20, INDEX('Form 1 - Município'!B2:B500&amp;'Form 1 - Município'!C2:C500, 0), 0))), "")</f>
        <v/>
      </c>
      <c r="E20" s="44" t="inlineStr">
        <is>
          <t>Enviado</t>
        </is>
      </c>
      <c r="F20" s="43" t="inlineStr">
        <is>
          <t>10/03/2025</t>
        </is>
      </c>
      <c r="G20" s="54" t="inlineStr">
        <is>
          <t>Sim</t>
        </is>
      </c>
      <c r="H20" s="43" t="n"/>
      <c r="I20" s="43" t="n"/>
      <c r="J20" s="43" t="inlineStr">
        <is>
          <t>Não</t>
        </is>
      </c>
      <c r="K20" s="43" t="n"/>
    </row>
    <row r="21">
      <c r="A21" s="52" t="inlineStr">
        <is>
          <t>Luana</t>
        </is>
      </c>
      <c r="B21" s="43" t="inlineStr">
        <is>
          <t>Diamante d'Oeste</t>
        </is>
      </c>
      <c r="C21" s="43" t="n">
        <v>1</v>
      </c>
      <c r="D21" s="43">
        <f>IFERROR(IF(INDEX('Form 1 - Município'!D2:D500, MATCH(B21&amp;C21, INDEX('Form 1 - Município'!B2:B500&amp;'Form 1 - Município'!C2:C500, 0), 0))="", "", INDEX('Form 1 - Município'!D2:D500, MATCH(B21&amp;C21, INDEX('Form 1 - Município'!B2:B500&amp;'Form 1 - Município'!C2:C500, 0), 0))), "")</f>
        <v/>
      </c>
      <c r="E21" s="44" t="inlineStr">
        <is>
          <t>Enviado</t>
        </is>
      </c>
      <c r="F21" s="43" t="inlineStr">
        <is>
          <t>19/03/2025</t>
        </is>
      </c>
      <c r="G21" s="54" t="inlineStr">
        <is>
          <t>Sim</t>
        </is>
      </c>
      <c r="H21" s="43" t="inlineStr">
        <is>
          <t>Pág 3, dividir os anexos na documentação pertinente (Estatuto e Ata)</t>
        </is>
      </c>
      <c r="I21" s="43" t="n"/>
      <c r="J21" s="43" t="inlineStr">
        <is>
          <t>Não</t>
        </is>
      </c>
      <c r="K21" s="43" t="n"/>
    </row>
    <row r="22">
      <c r="A22" s="52" t="inlineStr">
        <is>
          <t>Luana</t>
        </is>
      </c>
      <c r="B22" s="43" t="inlineStr">
        <is>
          <t>Entre Rios do Oeste</t>
        </is>
      </c>
      <c r="C22" s="43" t="n">
        <v>1</v>
      </c>
      <c r="D22" s="43">
        <f>IFERROR(IF(INDEX('Form 1 - Município'!D2:D500, MATCH(B22&amp;C22, INDEX('Form 1 - Município'!B2:B500&amp;'Form 1 - Município'!C2:C500, 0), 0))="", "", INDEX('Form 1 - Município'!D2:D500, MATCH(B22&amp;C22, INDEX('Form 1 - Município'!B2:B500&amp;'Form 1 - Município'!C2:C500, 0), 0))), "")</f>
        <v/>
      </c>
      <c r="E22" s="44" t="inlineStr">
        <is>
          <t>Enviado</t>
        </is>
      </c>
      <c r="F22" s="43" t="inlineStr">
        <is>
          <t>08/08/2025</t>
        </is>
      </c>
      <c r="G22" s="54" t="inlineStr">
        <is>
          <t>Sim</t>
        </is>
      </c>
      <c r="H22" s="43" t="n"/>
      <c r="I22" s="43" t="n"/>
      <c r="J22" s="43" t="inlineStr">
        <is>
          <t>Não</t>
        </is>
      </c>
      <c r="K22" s="43" t="n"/>
    </row>
    <row r="23">
      <c r="A23" s="49" t="inlineStr">
        <is>
          <t>Gustavo</t>
        </is>
      </c>
      <c r="B23" s="43" t="inlineStr">
        <is>
          <t>Formosa do Oeste</t>
        </is>
      </c>
      <c r="C23" s="43" t="n">
        <v>1</v>
      </c>
      <c r="D23" s="43">
        <f>IFERROR(IF(INDEX('Form 1 - Município'!D2:D500, MATCH(B23&amp;C23, INDEX('Form 1 - Município'!B2:B500&amp;'Form 1 - Município'!C2:C500, 0), 0))="", "", INDEX('Form 1 - Município'!D2:D500, MATCH(B23&amp;C23, INDEX('Form 1 - Município'!B2:B500&amp;'Form 1 - Município'!C2:C500, 0), 0))), "")</f>
        <v/>
      </c>
      <c r="E23" s="44" t="inlineStr">
        <is>
          <t>Enviado</t>
        </is>
      </c>
      <c r="F23" s="43" t="inlineStr">
        <is>
          <t>15/04/2025</t>
        </is>
      </c>
      <c r="G23" s="55" t="inlineStr">
        <is>
          <t>Não</t>
        </is>
      </c>
      <c r="H23" s="43" t="n"/>
      <c r="I23" s="43" t="n"/>
      <c r="J23" s="43" t="inlineStr">
        <is>
          <t>Não</t>
        </is>
      </c>
      <c r="K23" s="43" t="n"/>
    </row>
    <row r="24">
      <c r="A24" s="53" t="inlineStr">
        <is>
          <t>Larissa</t>
        </is>
      </c>
      <c r="B24" s="43" t="inlineStr">
        <is>
          <t>Foz do Iguaçu</t>
        </is>
      </c>
      <c r="C24" s="43" t="n">
        <v>1</v>
      </c>
      <c r="D24" s="43">
        <f>IFERROR(IF(INDEX('Form 1 - Município'!D2:D500, MATCH(B24&amp;C24, INDEX('Form 1 - Município'!B2:B500&amp;'Form 1 - Município'!C2:C500, 0), 0))="", "", INDEX('Form 1 - Município'!D2:D500, MATCH(B24&amp;C24, INDEX('Form 1 - Município'!B2:B500&amp;'Form 1 - Município'!C2:C500, 0), 0))), "")</f>
        <v/>
      </c>
      <c r="E24" s="44" t="inlineStr">
        <is>
          <t>Enviado</t>
        </is>
      </c>
      <c r="F24" s="43" t="inlineStr">
        <is>
          <t>18/11/2025</t>
        </is>
      </c>
      <c r="G24" s="55" t="inlineStr">
        <is>
          <t>Não</t>
        </is>
      </c>
      <c r="H24" s="43" t="n"/>
      <c r="I24" s="43" t="n"/>
      <c r="J24" s="43" t="inlineStr">
        <is>
          <t>Não</t>
        </is>
      </c>
      <c r="K24" s="43" t="n"/>
    </row>
    <row r="25">
      <c r="A25" s="53" t="inlineStr">
        <is>
          <t>Larissa</t>
        </is>
      </c>
      <c r="B25" s="43" t="inlineStr">
        <is>
          <t>Foz do Iguaçu</t>
        </is>
      </c>
      <c r="C25" s="43" t="n">
        <v>2</v>
      </c>
      <c r="D25" s="43">
        <f>IFERROR(IF(INDEX('Form 1 - Município'!D2:D500, MATCH(B25&amp;C25, INDEX('Form 1 - Município'!B2:B500&amp;'Form 1 - Município'!C2:C500, 0), 0))="", "", INDEX('Form 1 - Município'!D2:D500, MATCH(B25&amp;C25, INDEX('Form 1 - Município'!B2:B500&amp;'Form 1 - Município'!C2:C500, 0), 0))), "")</f>
        <v/>
      </c>
      <c r="E25" s="44" t="inlineStr">
        <is>
          <t>Enviado</t>
        </is>
      </c>
      <c r="F25" s="43" t="inlineStr">
        <is>
          <t>20/08/2025</t>
        </is>
      </c>
      <c r="G25" s="54" t="inlineStr">
        <is>
          <t>Sim</t>
        </is>
      </c>
      <c r="H25" s="43" t="n"/>
      <c r="I25" s="43" t="n"/>
      <c r="J25" s="43" t="inlineStr">
        <is>
          <t>Não</t>
        </is>
      </c>
      <c r="K25" s="43" t="n"/>
    </row>
    <row r="26">
      <c r="A26" s="53" t="inlineStr">
        <is>
          <t>Larissa</t>
        </is>
      </c>
      <c r="B26" s="43" t="inlineStr">
        <is>
          <t>Foz do Iguaçu</t>
        </is>
      </c>
      <c r="C26" s="43" t="n">
        <v>3</v>
      </c>
      <c r="D26" s="43">
        <f>IFERROR(IF(INDEX('Form 1 - Município'!D2:D500, MATCH(B26&amp;C26, INDEX('Form 1 - Município'!B2:B500&amp;'Form 1 - Município'!C2:C500, 0), 0))="", "", INDEX('Form 1 - Município'!D2:D500, MATCH(B26&amp;C26, INDEX('Form 1 - Município'!B2:B500&amp;'Form 1 - Município'!C2:C500, 0), 0))), "")</f>
        <v/>
      </c>
      <c r="E26" s="44" t="inlineStr">
        <is>
          <t>Enviado</t>
        </is>
      </c>
      <c r="F26" s="43" t="inlineStr">
        <is>
          <t>16/04/2025</t>
        </is>
      </c>
      <c r="G26" s="54" t="inlineStr">
        <is>
          <t>Sim</t>
        </is>
      </c>
      <c r="H26" s="43" t="n"/>
      <c r="I26" s="43" t="n"/>
      <c r="J26" s="43" t="inlineStr">
        <is>
          <t>Não</t>
        </is>
      </c>
      <c r="K26" s="43" t="n"/>
    </row>
    <row r="27">
      <c r="A27" s="53" t="inlineStr">
        <is>
          <t>Larissa</t>
        </is>
      </c>
      <c r="B27" s="43" t="inlineStr">
        <is>
          <t>Foz do Iguaçu</t>
        </is>
      </c>
      <c r="C27" s="43" t="n">
        <v>4</v>
      </c>
      <c r="D27" s="43">
        <f>IFERROR(IF(INDEX('Form 1 - Município'!D2:D500, MATCH(B27&amp;C27, INDEX('Form 1 - Município'!B2:B500&amp;'Form 1 - Município'!C2:C500, 0), 0))="", "", INDEX('Form 1 - Município'!D2:D500, MATCH(B27&amp;C27, INDEX('Form 1 - Município'!B2:B500&amp;'Form 1 - Município'!C2:C500, 0), 0))), "")</f>
        <v/>
      </c>
      <c r="E27" s="44" t="inlineStr">
        <is>
          <t>Enviado</t>
        </is>
      </c>
      <c r="F27" s="43" t="inlineStr">
        <is>
          <t>09/07/2025</t>
        </is>
      </c>
      <c r="G27" s="54" t="inlineStr">
        <is>
          <t>Sim</t>
        </is>
      </c>
      <c r="H27" s="43" t="n"/>
      <c r="I27" s="43" t="n"/>
      <c r="J27" s="43" t="inlineStr">
        <is>
          <t>Não</t>
        </is>
      </c>
      <c r="K27" s="43" t="n"/>
    </row>
    <row r="28">
      <c r="A28" s="53" t="inlineStr">
        <is>
          <t>Larissa</t>
        </is>
      </c>
      <c r="B28" s="43" t="inlineStr">
        <is>
          <t>Foz do Iguaçu</t>
        </is>
      </c>
      <c r="C28" s="43" t="n">
        <v>5</v>
      </c>
      <c r="D28" s="43">
        <f>IFERROR(IF(INDEX('Form 1 - Município'!D2:D500, MATCH(B28&amp;C28, INDEX('Form 1 - Município'!B2:B500&amp;'Form 1 - Município'!C2:C500, 0), 0))="", "", INDEX('Form 1 - Município'!D2:D500, MATCH(B28&amp;C28, INDEX('Form 1 - Município'!B2:B500&amp;'Form 1 - Município'!C2:C500, 0), 0))), "")</f>
        <v/>
      </c>
      <c r="E28" s="44" t="inlineStr">
        <is>
          <t>Enviado</t>
        </is>
      </c>
      <c r="F28" s="43" t="inlineStr">
        <is>
          <t>03/07/2025</t>
        </is>
      </c>
      <c r="G28" s="54" t="inlineStr">
        <is>
          <t>Sim</t>
        </is>
      </c>
      <c r="H28" s="43" t="n"/>
      <c r="I28" s="43" t="n"/>
      <c r="J28" s="43" t="inlineStr">
        <is>
          <t>Não</t>
        </is>
      </c>
      <c r="K28" s="43" t="n"/>
    </row>
    <row r="29">
      <c r="A29" s="53" t="inlineStr">
        <is>
          <t>Larissa</t>
        </is>
      </c>
      <c r="B29" s="43" t="inlineStr">
        <is>
          <t>Foz do Iguaçu</t>
        </is>
      </c>
      <c r="C29" s="43" t="n">
        <v>6</v>
      </c>
      <c r="D29" s="43">
        <f>IFERROR(IF(INDEX('Form 1 - Município'!D2:D500, MATCH(B29&amp;C29, INDEX('Form 1 - Município'!B2:B500&amp;'Form 1 - Município'!C2:C500, 0), 0))="", "", INDEX('Form 1 - Município'!D2:D500, MATCH(B29&amp;C29, INDEX('Form 1 - Município'!B2:B500&amp;'Form 1 - Município'!C2:C500, 0), 0))), "")</f>
        <v/>
      </c>
      <c r="E29" s="44" t="inlineStr">
        <is>
          <t>Enviado</t>
        </is>
      </c>
      <c r="F29" s="43" t="inlineStr">
        <is>
          <t>20/03/2025</t>
        </is>
      </c>
      <c r="G29" s="54" t="inlineStr">
        <is>
          <t>Sim</t>
        </is>
      </c>
      <c r="H29" s="43" t="inlineStr">
        <is>
          <t>Está ok</t>
        </is>
      </c>
      <c r="I29" s="43" t="n"/>
      <c r="J29" s="43" t="inlineStr">
        <is>
          <t>Não</t>
        </is>
      </c>
      <c r="K29" s="43" t="n"/>
    </row>
    <row r="30">
      <c r="A30" s="53" t="inlineStr">
        <is>
          <t>Larissa</t>
        </is>
      </c>
      <c r="B30" s="43" t="inlineStr">
        <is>
          <t>Foz do Iguaçu</t>
        </is>
      </c>
      <c r="C30" s="43" t="n">
        <v>7</v>
      </c>
      <c r="D30" s="43">
        <f>IFERROR(IF(INDEX('Form 1 - Município'!D2:D500, MATCH(B30&amp;C30, INDEX('Form 1 - Município'!B2:B500&amp;'Form 1 - Município'!C2:C500, 0), 0))="", "", INDEX('Form 1 - Município'!D2:D500, MATCH(B30&amp;C30, INDEX('Form 1 - Município'!B2:B500&amp;'Form 1 - Município'!C2:C500, 0), 0))), "")</f>
        <v/>
      </c>
      <c r="E30" s="44" t="inlineStr">
        <is>
          <t>Enviado</t>
        </is>
      </c>
      <c r="F30" s="43" t="inlineStr">
        <is>
          <t>01/04/2025</t>
        </is>
      </c>
      <c r="G30" s="54" t="inlineStr">
        <is>
          <t>Sim</t>
        </is>
      </c>
      <c r="H30" s="43" t="inlineStr">
        <is>
          <t>Corrigir item 3 - administração do empreendimento</t>
        </is>
      </c>
      <c r="I30" s="43" t="n"/>
      <c r="J30" s="43" t="inlineStr">
        <is>
          <t>Não</t>
        </is>
      </c>
      <c r="K30" s="43" t="n"/>
    </row>
    <row r="31">
      <c r="A31" s="53" t="inlineStr">
        <is>
          <t>Larissa</t>
        </is>
      </c>
      <c r="B31" s="43" t="inlineStr">
        <is>
          <t>Foz do Iguaçu</t>
        </is>
      </c>
      <c r="C31" s="43" t="n">
        <v>8</v>
      </c>
      <c r="D31" s="43">
        <f>IFERROR(IF(INDEX('Form 1 - Município'!D2:D500, MATCH(B31&amp;C31, INDEX('Form 1 - Município'!B2:B500&amp;'Form 1 - Município'!C2:C500, 0), 0))="", "", INDEX('Form 1 - Município'!D2:D500, MATCH(B31&amp;C31, INDEX('Form 1 - Município'!B2:B500&amp;'Form 1 - Município'!C2:C500, 0), 0))), "")</f>
        <v/>
      </c>
      <c r="E31" s="44" t="inlineStr">
        <is>
          <t>Enviado</t>
        </is>
      </c>
      <c r="F31" s="43" t="inlineStr">
        <is>
          <t>17/03/2025</t>
        </is>
      </c>
      <c r="G31" s="54" t="inlineStr">
        <is>
          <t>Sim</t>
        </is>
      </c>
      <c r="H31" s="43" t="inlineStr">
        <is>
          <t>Está ok</t>
        </is>
      </c>
      <c r="I31" s="43" t="n"/>
      <c r="J31" s="43" t="inlineStr">
        <is>
          <t>Não</t>
        </is>
      </c>
      <c r="K31" s="43" t="n"/>
    </row>
    <row r="32">
      <c r="A32" s="53" t="inlineStr">
        <is>
          <t>Larissa</t>
        </is>
      </c>
      <c r="B32" s="43" t="inlineStr">
        <is>
          <t>Foz do Iguaçu</t>
        </is>
      </c>
      <c r="C32" s="43" t="n">
        <v>9</v>
      </c>
      <c r="D32" s="43">
        <f>IFERROR(IF(INDEX('Form 1 - Município'!D2:D500, MATCH(B32&amp;C32, INDEX('Form 1 - Município'!B2:B500&amp;'Form 1 - Município'!C2:C500, 0), 0))="", "", INDEX('Form 1 - Município'!D2:D500, MATCH(B32&amp;C32, INDEX('Form 1 - Município'!B2:B500&amp;'Form 1 - Município'!C2:C500, 0), 0))), "")</f>
        <v/>
      </c>
      <c r="E32" s="44" t="inlineStr">
        <is>
          <t>Enviado</t>
        </is>
      </c>
      <c r="F32" s="43" t="inlineStr">
        <is>
          <t>02/09/2025</t>
        </is>
      </c>
      <c r="G32" s="54" t="inlineStr">
        <is>
          <t>Sim</t>
        </is>
      </c>
      <c r="H32" s="43" t="inlineStr">
        <is>
          <t>o alvará é da unidade 06</t>
        </is>
      </c>
      <c r="I32" s="43" t="n"/>
      <c r="J32" s="43" t="inlineStr">
        <is>
          <t>Não</t>
        </is>
      </c>
      <c r="K32" s="43" t="n"/>
    </row>
    <row r="33">
      <c r="A33" s="42" t="inlineStr">
        <is>
          <t>Gabriel</t>
        </is>
      </c>
      <c r="B33" s="43" t="inlineStr">
        <is>
          <t>Francisco Alves</t>
        </is>
      </c>
      <c r="C33" s="43" t="n">
        <v>1</v>
      </c>
      <c r="D33" s="43">
        <f>IFERROR(IF(INDEX('Form 1 - Município'!D2:D500, MATCH(B33&amp;C33, INDEX('Form 1 - Município'!B2:B500&amp;'Form 1 - Município'!C2:C500, 0), 0))="", "", INDEX('Form 1 - Município'!D2:D500, MATCH(B33&amp;C33, INDEX('Form 1 - Município'!B2:B500&amp;'Form 1 - Município'!C2:C500, 0), 0))), "")</f>
        <v/>
      </c>
      <c r="E33" s="47" t="inlineStr">
        <is>
          <t>Atrasado</t>
        </is>
      </c>
      <c r="F33" s="43" t="n"/>
      <c r="G33" s="55" t="inlineStr">
        <is>
          <t>Não</t>
        </is>
      </c>
      <c r="H33" s="43" t="n"/>
      <c r="I33" s="43" t="n"/>
      <c r="J33" s="43" t="inlineStr">
        <is>
          <t>Não</t>
        </is>
      </c>
      <c r="K33" s="43" t="n"/>
    </row>
    <row r="34">
      <c r="A34" s="42" t="inlineStr">
        <is>
          <t>Gabriel</t>
        </is>
      </c>
      <c r="B34" s="43" t="inlineStr">
        <is>
          <t>Guaira</t>
        </is>
      </c>
      <c r="C34" s="43" t="n">
        <v>1</v>
      </c>
      <c r="D34" s="43">
        <f>IFERROR(IF(INDEX('Form 1 - Município'!D2:D500, MATCH(B34&amp;C34, INDEX('Form 1 - Município'!B2:B500&amp;'Form 1 - Município'!C2:C500, 0), 0))="", "", INDEX('Form 1 - Município'!D2:D500, MATCH(B34&amp;C34, INDEX('Form 1 - Município'!B2:B500&amp;'Form 1 - Município'!C2:C500, 0), 0))), "")</f>
        <v/>
      </c>
      <c r="E34" s="47" t="inlineStr">
        <is>
          <t>Atrasado</t>
        </is>
      </c>
      <c r="F34" s="43" t="n"/>
      <c r="G34" s="55" t="inlineStr">
        <is>
          <t>Não</t>
        </is>
      </c>
      <c r="H34" s="43" t="n"/>
      <c r="I34" s="43" t="n"/>
      <c r="J34" s="43" t="inlineStr">
        <is>
          <t>Não</t>
        </is>
      </c>
      <c r="K34" s="43" t="n"/>
    </row>
    <row r="35">
      <c r="A35" s="46" t="inlineStr">
        <is>
          <t>Bianca</t>
        </is>
      </c>
      <c r="B35" s="43" t="inlineStr">
        <is>
          <t>Guaraniacu</t>
        </is>
      </c>
      <c r="C35" s="43" t="n">
        <v>1</v>
      </c>
      <c r="D35" s="43">
        <f>IFERROR(IF(INDEX('Form 1 - Município'!D2:D500, MATCH(B35&amp;C35, INDEX('Form 1 - Município'!B2:B500&amp;'Form 1 - Município'!C2:C500, 0), 0))="", "", INDEX('Form 1 - Município'!D2:D500, MATCH(B35&amp;C35, INDEX('Form 1 - Município'!B2:B500&amp;'Form 1 - Município'!C2:C500, 0), 0))), "")</f>
        <v/>
      </c>
      <c r="E35" s="44" t="inlineStr">
        <is>
          <t>Enviado</t>
        </is>
      </c>
      <c r="F35" s="43" t="inlineStr">
        <is>
          <t>08/04/2025</t>
        </is>
      </c>
      <c r="G35" s="55" t="inlineStr">
        <is>
          <t>Não</t>
        </is>
      </c>
      <c r="H35" s="43" t="n"/>
      <c r="I35" s="43" t="n"/>
      <c r="J35" s="43" t="inlineStr">
        <is>
          <t>Não</t>
        </is>
      </c>
      <c r="K35" s="43" t="n"/>
    </row>
    <row r="36">
      <c r="A36" s="46" t="inlineStr">
        <is>
          <t>Bianca</t>
        </is>
      </c>
      <c r="B36" s="43" t="inlineStr">
        <is>
          <t>Ibema</t>
        </is>
      </c>
      <c r="C36" s="43" t="n">
        <v>1</v>
      </c>
      <c r="D36" s="43">
        <f>IFERROR(IF(INDEX('Form 1 - Município'!D2:D500, MATCH(B36&amp;C36, INDEX('Form 1 - Município'!B2:B500&amp;'Form 1 - Município'!C2:C500, 0), 0))="", "", INDEX('Form 1 - Município'!D2:D500, MATCH(B36&amp;C36, INDEX('Form 1 - Município'!B2:B500&amp;'Form 1 - Município'!C2:C500, 0), 0))), "")</f>
        <v/>
      </c>
      <c r="E36" s="44" t="inlineStr">
        <is>
          <t>Enviado</t>
        </is>
      </c>
      <c r="F36" s="43" t="inlineStr">
        <is>
          <t>24/03/2025</t>
        </is>
      </c>
      <c r="G36" s="54" t="inlineStr">
        <is>
          <t>Sim</t>
        </is>
      </c>
      <c r="H36" s="43" t="n"/>
      <c r="I36" s="43" t="n"/>
      <c r="J36" s="43" t="inlineStr">
        <is>
          <t>Não</t>
        </is>
      </c>
      <c r="K36" s="43" t="n"/>
    </row>
    <row r="37">
      <c r="A37" s="46" t="inlineStr">
        <is>
          <t>Bianca</t>
        </is>
      </c>
      <c r="B37" s="43" t="inlineStr">
        <is>
          <t>Iguatu</t>
        </is>
      </c>
      <c r="C37" s="43" t="n">
        <v>1</v>
      </c>
      <c r="D37" s="43">
        <f>IFERROR(IF(INDEX('Form 1 - Município'!D2:D500, MATCH(B37&amp;C37, INDEX('Form 1 - Município'!B2:B500&amp;'Form 1 - Município'!C2:C500, 0), 0))="", "", INDEX('Form 1 - Município'!D2:D500, MATCH(B37&amp;C37, INDEX('Form 1 - Município'!B2:B500&amp;'Form 1 - Município'!C2:C500, 0), 0))), "")</f>
        <v/>
      </c>
      <c r="E37" s="44" t="inlineStr">
        <is>
          <t>Enviado</t>
        </is>
      </c>
      <c r="F37" s="43" t="inlineStr">
        <is>
          <t>02/04/2025</t>
        </is>
      </c>
      <c r="G37" s="54" t="inlineStr">
        <is>
          <t>Sim</t>
        </is>
      </c>
      <c r="H37" s="43" t="n"/>
      <c r="I37" s="43" t="n"/>
      <c r="J37" s="43" t="inlineStr">
        <is>
          <t>Não</t>
        </is>
      </c>
      <c r="K37" s="43" t="n"/>
    </row>
    <row r="38">
      <c r="A38" s="49" t="inlineStr">
        <is>
          <t>Gustavo</t>
        </is>
      </c>
      <c r="B38" s="43" t="inlineStr">
        <is>
          <t>Iracema do Oeste</t>
        </is>
      </c>
      <c r="C38" s="43" t="n">
        <v>1</v>
      </c>
      <c r="D38" s="43">
        <f>IFERROR(IF(INDEX('Form 1 - Município'!D2:D500, MATCH(B38&amp;C38, INDEX('Form 1 - Município'!B2:B500&amp;'Form 1 - Município'!C2:C500, 0), 0))="", "", INDEX('Form 1 - Município'!D2:D500, MATCH(B38&amp;C38, INDEX('Form 1 - Município'!B2:B500&amp;'Form 1 - Município'!C2:C500, 0), 0))), "")</f>
        <v/>
      </c>
      <c r="E38" s="44" t="inlineStr">
        <is>
          <t>Enviado</t>
        </is>
      </c>
      <c r="F38" s="43" t="inlineStr">
        <is>
          <t>19/03/2025</t>
        </is>
      </c>
      <c r="G38" s="55" t="inlineStr">
        <is>
          <t>Não</t>
        </is>
      </c>
      <c r="H38" s="43" t="n"/>
      <c r="I38" s="43" t="n"/>
      <c r="J38" s="43" t="inlineStr">
        <is>
          <t>Não</t>
        </is>
      </c>
      <c r="K38" s="43" t="n"/>
    </row>
    <row r="39">
      <c r="A39" s="52" t="inlineStr">
        <is>
          <t>Luana</t>
        </is>
      </c>
      <c r="B39" s="43" t="inlineStr">
        <is>
          <t>Itaipulândia</t>
        </is>
      </c>
      <c r="C39" s="43" t="n">
        <v>1</v>
      </c>
      <c r="D39" s="43">
        <f>IFERROR(IF(INDEX('Form 1 - Município'!D2:D500, MATCH(B39&amp;C39, INDEX('Form 1 - Município'!B2:B500&amp;'Form 1 - Município'!C2:C500, 0), 0))="", "", INDEX('Form 1 - Município'!D2:D500, MATCH(B39&amp;C39, INDEX('Form 1 - Município'!B2:B500&amp;'Form 1 - Município'!C2:C500, 0), 0))), "")</f>
        <v/>
      </c>
      <c r="E39" s="44" t="inlineStr">
        <is>
          <t>Enviado</t>
        </is>
      </c>
      <c r="F39" s="43" t="inlineStr">
        <is>
          <t>08/04/2025</t>
        </is>
      </c>
      <c r="G39" s="54" t="inlineStr">
        <is>
          <t>Sim</t>
        </is>
      </c>
      <c r="H39" s="43" t="n"/>
      <c r="I39" s="43" t="n"/>
      <c r="J39" s="43" t="inlineStr">
        <is>
          <t>Não</t>
        </is>
      </c>
      <c r="K39" s="43" t="n"/>
    </row>
    <row r="40">
      <c r="A40" s="49" t="inlineStr">
        <is>
          <t>Gustavo</t>
        </is>
      </c>
      <c r="B40" s="43" t="inlineStr">
        <is>
          <t>Jesuítas</t>
        </is>
      </c>
      <c r="C40" s="43" t="n">
        <v>1</v>
      </c>
      <c r="D40" s="43">
        <f>IFERROR(IF(INDEX('Form 1 - Município'!D2:D500, MATCH(B40&amp;C40, INDEX('Form 1 - Município'!B2:B500&amp;'Form 1 - Município'!C2:C500, 0), 0))="", "", INDEX('Form 1 - Município'!D2:D500, MATCH(B40&amp;C40, INDEX('Form 1 - Município'!B2:B500&amp;'Form 1 - Município'!C2:C500, 0), 0))), "")</f>
        <v/>
      </c>
      <c r="E40" s="44" t="inlineStr">
        <is>
          <t>Enviado</t>
        </is>
      </c>
      <c r="F40" s="43" t="inlineStr">
        <is>
          <t>16/07/2025</t>
        </is>
      </c>
      <c r="G40" s="55" t="inlineStr">
        <is>
          <t>Não</t>
        </is>
      </c>
      <c r="H40" s="43" t="n"/>
      <c r="I40" s="43" t="n"/>
      <c r="J40" s="43" t="inlineStr">
        <is>
          <t>Não</t>
        </is>
      </c>
      <c r="K40" s="43" t="n"/>
    </row>
    <row r="41">
      <c r="A41" s="50" t="inlineStr">
        <is>
          <t>Valquiria</t>
        </is>
      </c>
      <c r="B41" s="43" t="inlineStr">
        <is>
          <t>Lindoeste</t>
        </is>
      </c>
      <c r="C41" s="43" t="n">
        <v>1</v>
      </c>
      <c r="D41" s="43">
        <f>IFERROR(IF(INDEX('Form 1 - Município'!D2:D500, MATCH(B41&amp;C41, INDEX('Form 1 - Município'!B2:B500&amp;'Form 1 - Município'!C2:C500, 0), 0))="", "", INDEX('Form 1 - Município'!D2:D500, MATCH(B41&amp;C41, INDEX('Form 1 - Município'!B2:B500&amp;'Form 1 - Município'!C2:C500, 0), 0))), "")</f>
        <v/>
      </c>
      <c r="E41" s="47" t="inlineStr">
        <is>
          <t>Atrasado</t>
        </is>
      </c>
      <c r="F41" s="43" t="n"/>
      <c r="G41" s="55" t="inlineStr">
        <is>
          <t>Não</t>
        </is>
      </c>
      <c r="H41" s="43" t="n"/>
      <c r="I41" s="43" t="n"/>
      <c r="J41" s="43" t="inlineStr">
        <is>
          <t>Não</t>
        </is>
      </c>
      <c r="K41" s="43" t="n"/>
    </row>
    <row r="42">
      <c r="A42" s="52" t="inlineStr">
        <is>
          <t>Luana</t>
        </is>
      </c>
      <c r="B42" s="43" t="inlineStr">
        <is>
          <t>Marechal Candido Rondon</t>
        </is>
      </c>
      <c r="C42" s="43" t="n">
        <v>1</v>
      </c>
      <c r="D42" s="43">
        <f>IFERROR(IF(INDEX('Form 1 - Município'!D2:D500, MATCH(B42&amp;C42, INDEX('Form 1 - Município'!B2:B500&amp;'Form 1 - Município'!C2:C500, 0), 0))="", "", INDEX('Form 1 - Município'!D2:D500, MATCH(B42&amp;C42, INDEX('Form 1 - Município'!B2:B500&amp;'Form 1 - Município'!C2:C500, 0), 0))), "")</f>
        <v/>
      </c>
      <c r="E42" s="44" t="inlineStr">
        <is>
          <t>Enviado</t>
        </is>
      </c>
      <c r="F42" s="43" t="inlineStr">
        <is>
          <t>09/04/2025</t>
        </is>
      </c>
      <c r="G42" s="54" t="inlineStr">
        <is>
          <t>Sim</t>
        </is>
      </c>
      <c r="H42" s="43" t="n"/>
      <c r="I42" s="43" t="n"/>
      <c r="J42" s="43" t="inlineStr">
        <is>
          <t>Não</t>
        </is>
      </c>
      <c r="K42" s="43" t="n"/>
    </row>
    <row r="43">
      <c r="A43" s="52" t="inlineStr">
        <is>
          <t>Luana</t>
        </is>
      </c>
      <c r="B43" s="43" t="inlineStr">
        <is>
          <t>Marechal Candido Rondon</t>
        </is>
      </c>
      <c r="C43" s="43" t="n">
        <v>2</v>
      </c>
      <c r="D43" s="43">
        <f>IFERROR(IF(INDEX('Form 1 - Município'!D2:D500, MATCH(B43&amp;C43, INDEX('Form 1 - Município'!B2:B500&amp;'Form 1 - Município'!C2:C500, 0), 0))="", "", INDEX('Form 1 - Município'!D2:D500, MATCH(B43&amp;C43, INDEX('Form 1 - Município'!B2:B500&amp;'Form 1 - Município'!C2:C500, 0), 0))), "")</f>
        <v/>
      </c>
      <c r="E43" s="44" t="inlineStr">
        <is>
          <t>Enviado</t>
        </is>
      </c>
      <c r="F43" s="43" t="inlineStr">
        <is>
          <t>04/04/2025</t>
        </is>
      </c>
      <c r="G43" s="54" t="inlineStr">
        <is>
          <t>Sim</t>
        </is>
      </c>
      <c r="H43" s="43" t="n"/>
      <c r="I43" s="43" t="n"/>
      <c r="J43" s="43" t="inlineStr">
        <is>
          <t>Não</t>
        </is>
      </c>
      <c r="K43" s="43" t="n"/>
    </row>
    <row r="44">
      <c r="A44" s="49" t="inlineStr">
        <is>
          <t>Gustavo</t>
        </is>
      </c>
      <c r="B44" s="43" t="inlineStr">
        <is>
          <t>Maripa</t>
        </is>
      </c>
      <c r="C44" s="43" t="n">
        <v>1</v>
      </c>
      <c r="D44" s="43">
        <f>IFERROR(IF(INDEX('Form 1 - Município'!D2:D500, MATCH(B44&amp;C44, INDEX('Form 1 - Município'!B2:B500&amp;'Form 1 - Município'!C2:C500, 0), 0))="", "", INDEX('Form 1 - Município'!D2:D500, MATCH(B44&amp;C44, INDEX('Form 1 - Município'!B2:B500&amp;'Form 1 - Município'!C2:C500, 0), 0))), "")</f>
        <v/>
      </c>
      <c r="E44" s="44" t="inlineStr">
        <is>
          <t>Enviado</t>
        </is>
      </c>
      <c r="F44" s="43" t="inlineStr">
        <is>
          <t>11/11/2025</t>
        </is>
      </c>
      <c r="G44" s="55" t="inlineStr">
        <is>
          <t>Não</t>
        </is>
      </c>
      <c r="H44" s="43" t="n"/>
      <c r="I44" s="43" t="n"/>
      <c r="J44" s="43" t="inlineStr">
        <is>
          <t>Não</t>
        </is>
      </c>
      <c r="K44" s="43" t="n"/>
    </row>
    <row r="45">
      <c r="A45" s="52" t="inlineStr">
        <is>
          <t>Luana</t>
        </is>
      </c>
      <c r="B45" s="43" t="inlineStr">
        <is>
          <t>Matelândia</t>
        </is>
      </c>
      <c r="C45" s="43" t="n">
        <v>1</v>
      </c>
      <c r="D45" s="43">
        <f>IFERROR(IF(INDEX('Form 1 - Município'!D2:D500, MATCH(B45&amp;C45, INDEX('Form 1 - Município'!B2:B500&amp;'Form 1 - Município'!C2:C500, 0), 0))="", "", INDEX('Form 1 - Município'!D2:D500, MATCH(B45&amp;C45, INDEX('Form 1 - Município'!B2:B500&amp;'Form 1 - Município'!C2:C500, 0), 0))), "")</f>
        <v/>
      </c>
      <c r="E45" s="44" t="inlineStr">
        <is>
          <t>Enviado</t>
        </is>
      </c>
      <c r="F45" s="43" t="inlineStr">
        <is>
          <t>02/04/2025</t>
        </is>
      </c>
      <c r="G45" s="54" t="inlineStr">
        <is>
          <t>Sim</t>
        </is>
      </c>
      <c r="H45" s="43" t="n"/>
      <c r="I45" s="43" t="n"/>
      <c r="J45" s="43" t="inlineStr">
        <is>
          <t>Não</t>
        </is>
      </c>
      <c r="K45" s="43" t="n"/>
    </row>
    <row r="46">
      <c r="A46" s="53" t="inlineStr">
        <is>
          <t>Larissa</t>
        </is>
      </c>
      <c r="B46" s="43" t="inlineStr">
        <is>
          <t>Medianeira</t>
        </is>
      </c>
      <c r="C46" s="43" t="n">
        <v>1</v>
      </c>
      <c r="D46" s="43">
        <f>IFERROR(IF(INDEX('Form 1 - Município'!D2:D500, MATCH(B46&amp;C46, INDEX('Form 1 - Município'!B2:B500&amp;'Form 1 - Município'!C2:C500, 0), 0))="", "", INDEX('Form 1 - Município'!D2:D500, MATCH(B46&amp;C46, INDEX('Form 1 - Município'!B2:B500&amp;'Form 1 - Município'!C2:C500, 0), 0))), "")</f>
        <v/>
      </c>
      <c r="E46" s="44" t="inlineStr">
        <is>
          <t>Enviado</t>
        </is>
      </c>
      <c r="F46" s="43" t="inlineStr">
        <is>
          <t>26/03/2025</t>
        </is>
      </c>
      <c r="G46" s="54" t="inlineStr">
        <is>
          <t>Sim</t>
        </is>
      </c>
      <c r="H46" s="43" t="inlineStr">
        <is>
          <t>Está ok</t>
        </is>
      </c>
      <c r="I46" s="43" t="n"/>
      <c r="J46" s="43" t="inlineStr">
        <is>
          <t>Não</t>
        </is>
      </c>
      <c r="K46" s="43" t="n"/>
    </row>
    <row r="47">
      <c r="A47" s="42" t="inlineStr">
        <is>
          <t>Gabriel</t>
        </is>
      </c>
      <c r="B47" s="43" t="inlineStr">
        <is>
          <t>Mercedes</t>
        </is>
      </c>
      <c r="C47" s="43" t="n">
        <v>1</v>
      </c>
      <c r="D47" s="43">
        <f>IFERROR(IF(INDEX('Form 1 - Município'!D2:D500, MATCH(B47&amp;C47, INDEX('Form 1 - Município'!B2:B500&amp;'Form 1 - Município'!C2:C500, 0), 0))="", "", INDEX('Form 1 - Município'!D2:D500, MATCH(B47&amp;C47, INDEX('Form 1 - Município'!B2:B500&amp;'Form 1 - Município'!C2:C500, 0), 0))), "")</f>
        <v/>
      </c>
      <c r="E47" s="44" t="inlineStr">
        <is>
          <t>Enviado</t>
        </is>
      </c>
      <c r="F47" s="43" t="inlineStr">
        <is>
          <t>26/11/2025</t>
        </is>
      </c>
      <c r="G47" s="55" t="inlineStr">
        <is>
          <t>Não</t>
        </is>
      </c>
      <c r="H47" s="43" t="n"/>
      <c r="I47" s="43" t="n"/>
      <c r="J47" s="43" t="inlineStr">
        <is>
          <t>Não</t>
        </is>
      </c>
      <c r="K47" s="43" t="n"/>
    </row>
    <row r="48">
      <c r="A48" s="52" t="inlineStr">
        <is>
          <t>Luana</t>
        </is>
      </c>
      <c r="B48" s="43" t="inlineStr">
        <is>
          <t>Missal</t>
        </is>
      </c>
      <c r="C48" s="43" t="n">
        <v>1</v>
      </c>
      <c r="D48" s="43">
        <f>IFERROR(IF(INDEX('Form 1 - Município'!D2:D500, MATCH(B48&amp;C48, INDEX('Form 1 - Município'!B2:B500&amp;'Form 1 - Município'!C2:C500, 0), 0))="", "", INDEX('Form 1 - Município'!D2:D500, MATCH(B48&amp;C48, INDEX('Form 1 - Município'!B2:B500&amp;'Form 1 - Município'!C2:C500, 0), 0))), "")</f>
        <v/>
      </c>
      <c r="E48" s="44" t="inlineStr">
        <is>
          <t>Enviado</t>
        </is>
      </c>
      <c r="F48" s="43" t="inlineStr">
        <is>
          <t>11/03/2025</t>
        </is>
      </c>
      <c r="G48" s="54" t="inlineStr">
        <is>
          <t>Sim</t>
        </is>
      </c>
      <c r="H48" s="43" t="n"/>
      <c r="I48" s="43" t="n"/>
      <c r="J48" s="43" t="inlineStr">
        <is>
          <t>Não</t>
        </is>
      </c>
      <c r="K48" s="43" t="n"/>
    </row>
    <row r="49">
      <c r="A49" s="42" t="inlineStr">
        <is>
          <t>Gabriel</t>
        </is>
      </c>
      <c r="B49" s="43" t="inlineStr">
        <is>
          <t>Mundo Novo</t>
        </is>
      </c>
      <c r="C49" s="43" t="n">
        <v>1</v>
      </c>
      <c r="D49" s="43">
        <f>IFERROR(IF(INDEX('Form 1 - Município'!D2:D500, MATCH(B49&amp;C49, INDEX('Form 1 - Município'!B2:B500&amp;'Form 1 - Município'!C2:C500, 0), 0))="", "", INDEX('Form 1 - Município'!D2:D500, MATCH(B49&amp;C49, INDEX('Form 1 - Município'!B2:B500&amp;'Form 1 - Município'!C2:C500, 0), 0))), "")</f>
        <v/>
      </c>
      <c r="E49" s="44" t="inlineStr">
        <is>
          <t>Enviado</t>
        </is>
      </c>
      <c r="F49" s="43" t="inlineStr">
        <is>
          <t>06/08/2025</t>
        </is>
      </c>
      <c r="G49" s="54" t="inlineStr">
        <is>
          <t>Sim</t>
        </is>
      </c>
      <c r="H49" s="43" t="inlineStr">
        <is>
          <t>realmente não pagam o INSS?</t>
        </is>
      </c>
      <c r="I49" s="43" t="n"/>
      <c r="J49" s="43" t="inlineStr">
        <is>
          <t>Não</t>
        </is>
      </c>
      <c r="K49" s="43" t="n"/>
    </row>
    <row r="50">
      <c r="A50" s="49" t="inlineStr">
        <is>
          <t>Gustavo</t>
        </is>
      </c>
      <c r="B50" s="43" t="inlineStr">
        <is>
          <t>Nova Aurora</t>
        </is>
      </c>
      <c r="C50" s="43" t="n">
        <v>1</v>
      </c>
      <c r="D50" s="43">
        <f>IFERROR(IF(INDEX('Form 1 - Município'!D2:D500, MATCH(B50&amp;C50, INDEX('Form 1 - Município'!B2:B500&amp;'Form 1 - Município'!C2:C500, 0), 0))="", "", INDEX('Form 1 - Município'!D2:D500, MATCH(B50&amp;C50, INDEX('Form 1 - Município'!B2:B500&amp;'Form 1 - Município'!C2:C500, 0), 0))), "")</f>
        <v/>
      </c>
      <c r="E50" s="44" t="inlineStr">
        <is>
          <t>Enviado</t>
        </is>
      </c>
      <c r="F50" s="43" t="inlineStr">
        <is>
          <t>16/04/2025</t>
        </is>
      </c>
      <c r="G50" s="55" t="inlineStr">
        <is>
          <t>Não</t>
        </is>
      </c>
      <c r="H50" s="43" t="n"/>
      <c r="I50" s="43" t="n"/>
      <c r="J50" s="43" t="inlineStr">
        <is>
          <t>Não</t>
        </is>
      </c>
      <c r="K50" s="43" t="n"/>
    </row>
    <row r="51">
      <c r="A51" s="42" t="inlineStr">
        <is>
          <t>Gabriel</t>
        </is>
      </c>
      <c r="B51" s="43" t="inlineStr">
        <is>
          <t>Nova Santa Rosa</t>
        </is>
      </c>
      <c r="C51" s="43" t="n">
        <v>1</v>
      </c>
      <c r="D51" s="43">
        <f>IFERROR(IF(INDEX('Form 1 - Município'!D2:D500, MATCH(B51&amp;C51, INDEX('Form 1 - Município'!B2:B500&amp;'Form 1 - Município'!C2:C500, 0), 0))="", "", INDEX('Form 1 - Município'!D2:D500, MATCH(B51&amp;C51, INDEX('Form 1 - Município'!B2:B500&amp;'Form 1 - Município'!C2:C500, 0), 0))), "")</f>
        <v/>
      </c>
      <c r="E51" s="44" t="inlineStr">
        <is>
          <t>Enviado</t>
        </is>
      </c>
      <c r="F51" s="43" t="inlineStr">
        <is>
          <t>04/04/2025</t>
        </is>
      </c>
      <c r="G51" s="54" t="inlineStr">
        <is>
          <t>Sim</t>
        </is>
      </c>
      <c r="H51" s="43" t="inlineStr">
        <is>
          <t>tudo ok</t>
        </is>
      </c>
      <c r="I51" s="43" t="n"/>
      <c r="J51" s="43" t="inlineStr">
        <is>
          <t>Não</t>
        </is>
      </c>
      <c r="K51" s="43" t="n"/>
    </row>
    <row r="52">
      <c r="A52" s="42" t="inlineStr">
        <is>
          <t>Gabriel</t>
        </is>
      </c>
      <c r="B52" s="43" t="inlineStr">
        <is>
          <t>Ouro Verde do Oeste</t>
        </is>
      </c>
      <c r="C52" s="43" t="n">
        <v>1</v>
      </c>
      <c r="D52" s="43">
        <f>IFERROR(IF(INDEX('Form 1 - Município'!D2:D500, MATCH(B52&amp;C52, INDEX('Form 1 - Município'!B2:B500&amp;'Form 1 - Município'!C2:C500, 0), 0))="", "", INDEX('Form 1 - Município'!D2:D500, MATCH(B52&amp;C52, INDEX('Form 1 - Município'!B2:B500&amp;'Form 1 - Município'!C2:C500, 0), 0))), "")</f>
        <v/>
      </c>
      <c r="E52" s="44" t="inlineStr">
        <is>
          <t>Enviado</t>
        </is>
      </c>
      <c r="F52" s="43" t="inlineStr">
        <is>
          <t>27/03/2025</t>
        </is>
      </c>
      <c r="G52" s="54" t="inlineStr">
        <is>
          <t>Sim</t>
        </is>
      </c>
      <c r="H52" s="43" t="inlineStr">
        <is>
          <t>atualizar alvará, nova ata de eleição</t>
        </is>
      </c>
      <c r="I52" s="43" t="n"/>
      <c r="J52" s="43" t="inlineStr">
        <is>
          <t>Não</t>
        </is>
      </c>
      <c r="K52" s="43" t="n"/>
    </row>
    <row r="53">
      <c r="A53" s="49" t="inlineStr">
        <is>
          <t>Gustavo</t>
        </is>
      </c>
      <c r="B53" s="43" t="inlineStr">
        <is>
          <t>Palotina</t>
        </is>
      </c>
      <c r="C53" s="43" t="n">
        <v>1</v>
      </c>
      <c r="D53" s="43">
        <f>IFERROR(IF(INDEX('Form 1 - Município'!D2:D500, MATCH(B53&amp;C53, INDEX('Form 1 - Município'!B2:B500&amp;'Form 1 - Município'!C2:C500, 0), 0))="", "", INDEX('Form 1 - Município'!D2:D500, MATCH(B53&amp;C53, INDEX('Form 1 - Município'!B2:B500&amp;'Form 1 - Município'!C2:C500, 0), 0))), "")</f>
        <v/>
      </c>
      <c r="E53" s="44" t="inlineStr">
        <is>
          <t>Enviado</t>
        </is>
      </c>
      <c r="F53" s="43" t="inlineStr">
        <is>
          <t>21/08/2025</t>
        </is>
      </c>
      <c r="G53" s="55" t="inlineStr">
        <is>
          <t>Não</t>
        </is>
      </c>
      <c r="H53" s="43" t="n"/>
      <c r="I53" s="43" t="n"/>
      <c r="J53" s="43" t="inlineStr">
        <is>
          <t>Não</t>
        </is>
      </c>
      <c r="K53" s="43" t="n"/>
    </row>
    <row r="54">
      <c r="A54" s="52" t="inlineStr">
        <is>
          <t>Luana</t>
        </is>
      </c>
      <c r="B54" s="43" t="inlineStr">
        <is>
          <t>Pato Bragado</t>
        </is>
      </c>
      <c r="C54" s="43" t="n">
        <v>1</v>
      </c>
      <c r="D54" s="43">
        <f>IFERROR(IF(INDEX('Form 1 - Município'!D2:D500, MATCH(B54&amp;C54, INDEX('Form 1 - Município'!B2:B500&amp;'Form 1 - Município'!C2:C500, 0), 0))="", "", INDEX('Form 1 - Município'!D2:D500, MATCH(B54&amp;C54, INDEX('Form 1 - Município'!B2:B500&amp;'Form 1 - Município'!C2:C500, 0), 0))), "")</f>
        <v/>
      </c>
      <c r="E54" s="44" t="inlineStr">
        <is>
          <t>Enviado</t>
        </is>
      </c>
      <c r="F54" s="43" t="inlineStr">
        <is>
          <t>12/03/2025</t>
        </is>
      </c>
      <c r="G54" s="54" t="inlineStr">
        <is>
          <t>Sim</t>
        </is>
      </c>
      <c r="H54" s="43" t="n"/>
      <c r="I54" s="43" t="n"/>
      <c r="J54" s="43" t="inlineStr">
        <is>
          <t>Não</t>
        </is>
      </c>
      <c r="K54" s="43" t="n"/>
    </row>
    <row r="55">
      <c r="A55" s="42" t="inlineStr">
        <is>
          <t>Gabriel</t>
        </is>
      </c>
      <c r="B55" s="43" t="inlineStr">
        <is>
          <t>Quatro Pontes</t>
        </is>
      </c>
      <c r="C55" s="43" t="n">
        <v>1</v>
      </c>
      <c r="D55" s="43">
        <f>IFERROR(IF(INDEX('Form 1 - Município'!D2:D500, MATCH(B55&amp;C55, INDEX('Form 1 - Município'!B2:B500&amp;'Form 1 - Município'!C2:C500, 0), 0))="", "", INDEX('Form 1 - Município'!D2:D500, MATCH(B55&amp;C55, INDEX('Form 1 - Município'!B2:B500&amp;'Form 1 - Município'!C2:C500, 0), 0))), "")</f>
        <v/>
      </c>
      <c r="E55" s="44" t="inlineStr">
        <is>
          <t>Enviado</t>
        </is>
      </c>
      <c r="F55" s="43" t="inlineStr">
        <is>
          <t>09/04/2025</t>
        </is>
      </c>
      <c r="G55" s="54" t="inlineStr">
        <is>
          <t>Sim</t>
        </is>
      </c>
      <c r="H55" s="43" t="inlineStr">
        <is>
          <t>apenas revisar os docs</t>
        </is>
      </c>
      <c r="I55" s="43" t="n"/>
      <c r="J55" s="43" t="inlineStr">
        <is>
          <t>Não</t>
        </is>
      </c>
      <c r="K55" s="43" t="n"/>
    </row>
    <row r="56">
      <c r="A56" s="52" t="inlineStr">
        <is>
          <t>Luana</t>
        </is>
      </c>
      <c r="B56" s="43" t="inlineStr">
        <is>
          <t>Ramilândia</t>
        </is>
      </c>
      <c r="C56" s="43" t="n">
        <v>1</v>
      </c>
      <c r="D56" s="43">
        <f>IFERROR(IF(INDEX('Form 1 - Município'!D2:D500, MATCH(B56&amp;C56, INDEX('Form 1 - Município'!B2:B500&amp;'Form 1 - Município'!C2:C500, 0), 0))="", "", INDEX('Form 1 - Município'!D2:D500, MATCH(B56&amp;C56, INDEX('Form 1 - Município'!B2:B500&amp;'Form 1 - Município'!C2:C500, 0), 0))), "")</f>
        <v/>
      </c>
      <c r="E56" s="47" t="inlineStr">
        <is>
          <t>Atrasado</t>
        </is>
      </c>
      <c r="F56" s="43" t="n"/>
      <c r="G56" s="55" t="inlineStr">
        <is>
          <t>Não</t>
        </is>
      </c>
      <c r="H56" s="43" t="n"/>
      <c r="I56" s="43" t="n"/>
      <c r="J56" s="43" t="inlineStr">
        <is>
          <t>Não</t>
        </is>
      </c>
      <c r="K56" s="43" t="n"/>
    </row>
    <row r="57">
      <c r="A57" s="52" t="inlineStr">
        <is>
          <t>Luana</t>
        </is>
      </c>
      <c r="B57" s="43" t="inlineStr">
        <is>
          <t>Santa Helena</t>
        </is>
      </c>
      <c r="C57" s="43" t="n">
        <v>1</v>
      </c>
      <c r="D57" s="43">
        <f>IFERROR(IF(INDEX('Form 1 - Município'!D2:D500, MATCH(B57&amp;C57, INDEX('Form 1 - Município'!B2:B500&amp;'Form 1 - Município'!C2:C500, 0), 0))="", "", INDEX('Form 1 - Município'!D2:D500, MATCH(B57&amp;C57, INDEX('Form 1 - Município'!B2:B500&amp;'Form 1 - Município'!C2:C500, 0), 0))), "")</f>
        <v/>
      </c>
      <c r="E57" s="44" t="inlineStr">
        <is>
          <t>Enviado</t>
        </is>
      </c>
      <c r="F57" s="43" t="inlineStr">
        <is>
          <t>12/06/2025</t>
        </is>
      </c>
      <c r="G57" s="54" t="inlineStr">
        <is>
          <t>Sim</t>
        </is>
      </c>
      <c r="H57" s="43" t="n"/>
      <c r="I57" s="43" t="n"/>
      <c r="J57" s="43" t="inlineStr">
        <is>
          <t>Não</t>
        </is>
      </c>
      <c r="K57" s="43" t="n"/>
    </row>
    <row r="58">
      <c r="A58" s="50" t="inlineStr">
        <is>
          <t>Valquiria</t>
        </is>
      </c>
      <c r="B58" s="43" t="inlineStr">
        <is>
          <t>Santa Lúcia</t>
        </is>
      </c>
      <c r="C58" s="43" t="n">
        <v>1</v>
      </c>
      <c r="D58" s="43">
        <f>IFERROR(IF(INDEX('Form 1 - Município'!D2:D500, MATCH(B58&amp;C58, INDEX('Form 1 - Município'!B2:B500&amp;'Form 1 - Município'!C2:C500, 0), 0))="", "", INDEX('Form 1 - Município'!D2:D500, MATCH(B58&amp;C58, INDEX('Form 1 - Município'!B2:B500&amp;'Form 1 - Município'!C2:C500, 0), 0))), "")</f>
        <v/>
      </c>
      <c r="E58" s="47" t="inlineStr">
        <is>
          <t>Atrasado</t>
        </is>
      </c>
      <c r="F58" s="43" t="n"/>
      <c r="G58" s="55" t="inlineStr">
        <is>
          <t>Não</t>
        </is>
      </c>
      <c r="H58" s="43" t="n"/>
      <c r="I58" s="43" t="n"/>
      <c r="J58" s="43" t="inlineStr">
        <is>
          <t>Não</t>
        </is>
      </c>
      <c r="K58" s="43" t="n"/>
    </row>
    <row r="59">
      <c r="A59" s="50" t="inlineStr">
        <is>
          <t>Valquiria</t>
        </is>
      </c>
      <c r="B59" s="43" t="inlineStr">
        <is>
          <t>Santa Tereza do Oeste</t>
        </is>
      </c>
      <c r="C59" s="43" t="n">
        <v>1</v>
      </c>
      <c r="D59" s="43">
        <f>IFERROR(IF(INDEX('Form 1 - Município'!D2:D500, MATCH(B59&amp;C59, INDEX('Form 1 - Município'!B2:B500&amp;'Form 1 - Município'!C2:C500, 0), 0))="", "", INDEX('Form 1 - Município'!D2:D500, MATCH(B59&amp;C59, INDEX('Form 1 - Município'!B2:B500&amp;'Form 1 - Município'!C2:C500, 0), 0))), "")</f>
        <v/>
      </c>
      <c r="E59" s="44" t="inlineStr">
        <is>
          <t>Enviado</t>
        </is>
      </c>
      <c r="F59" s="43" t="inlineStr">
        <is>
          <t>20/03/2025</t>
        </is>
      </c>
      <c r="G59" s="54" t="inlineStr">
        <is>
          <t>Sim</t>
        </is>
      </c>
      <c r="H59" s="43" t="n"/>
      <c r="I59" s="43" t="n"/>
      <c r="J59" s="43" t="inlineStr">
        <is>
          <t>Não</t>
        </is>
      </c>
      <c r="K59" s="43" t="n"/>
    </row>
    <row r="60">
      <c r="A60" s="53" t="inlineStr">
        <is>
          <t>Larissa</t>
        </is>
      </c>
      <c r="B60" s="43" t="inlineStr">
        <is>
          <t>Santa Terezinha de Itaipu</t>
        </is>
      </c>
      <c r="C60" s="43" t="n">
        <v>1</v>
      </c>
      <c r="D60" s="43">
        <f>IFERROR(IF(INDEX('Form 1 - Município'!D2:D500, MATCH(B60&amp;C60, INDEX('Form 1 - Município'!B2:B500&amp;'Form 1 - Município'!C2:C500, 0), 0))="", "", INDEX('Form 1 - Município'!D2:D500, MATCH(B60&amp;C60, INDEX('Form 1 - Município'!B2:B500&amp;'Form 1 - Município'!C2:C500, 0), 0))), "")</f>
        <v/>
      </c>
      <c r="E60" s="44" t="inlineStr">
        <is>
          <t>Enviado</t>
        </is>
      </c>
      <c r="F60" s="43" t="inlineStr">
        <is>
          <t>19/08/2025</t>
        </is>
      </c>
      <c r="G60" s="54" t="inlineStr">
        <is>
          <t>Sim</t>
        </is>
      </c>
      <c r="H60" s="43" t="n"/>
      <c r="I60" s="43" t="n"/>
      <c r="J60" s="43" t="inlineStr">
        <is>
          <t>Não</t>
        </is>
      </c>
      <c r="K60" s="43" t="n"/>
    </row>
    <row r="61">
      <c r="A61" s="42" t="inlineStr">
        <is>
          <t>Gabriel</t>
        </is>
      </c>
      <c r="B61" s="43" t="inlineStr">
        <is>
          <t>São Jose das Palmeiras</t>
        </is>
      </c>
      <c r="C61" s="43" t="n">
        <v>1</v>
      </c>
      <c r="D61" s="43">
        <f>IFERROR(IF(INDEX('Form 1 - Município'!D2:D500, MATCH(B61&amp;C61, INDEX('Form 1 - Município'!B2:B500&amp;'Form 1 - Município'!C2:C500, 0), 0))="", "", INDEX('Form 1 - Município'!D2:D500, MATCH(B61&amp;C61, INDEX('Form 1 - Município'!B2:B500&amp;'Form 1 - Município'!C2:C500, 0), 0))), "")</f>
        <v/>
      </c>
      <c r="E61" s="44" t="inlineStr">
        <is>
          <t>Enviado</t>
        </is>
      </c>
      <c r="F61" s="43" t="inlineStr">
        <is>
          <t>10/03/2025</t>
        </is>
      </c>
      <c r="G61" s="54" t="inlineStr">
        <is>
          <t>Sim</t>
        </is>
      </c>
      <c r="H61" s="43" t="n"/>
      <c r="I61" s="43" t="n"/>
      <c r="J61" s="43" t="inlineStr">
        <is>
          <t>Não</t>
        </is>
      </c>
      <c r="K61" s="43" t="n"/>
    </row>
    <row r="62">
      <c r="A62" s="53" t="inlineStr">
        <is>
          <t>Larissa</t>
        </is>
      </c>
      <c r="B62" s="43" t="inlineStr">
        <is>
          <t>São Miguel do Iguaçu</t>
        </is>
      </c>
      <c r="C62" s="43" t="n">
        <v>1</v>
      </c>
      <c r="D62" s="43">
        <f>IFERROR(IF(INDEX('Form 1 - Município'!D2:D500, MATCH(B62&amp;C62, INDEX('Form 1 - Município'!B2:B500&amp;'Form 1 - Município'!C2:C500, 0), 0))="", "", INDEX('Form 1 - Município'!D2:D500, MATCH(B62&amp;C62, INDEX('Form 1 - Município'!B2:B500&amp;'Form 1 - Município'!C2:C500, 0), 0))), "")</f>
        <v/>
      </c>
      <c r="E62" s="44" t="inlineStr">
        <is>
          <t>Enviado</t>
        </is>
      </c>
      <c r="F62" s="43" t="inlineStr">
        <is>
          <t>09/05/2025</t>
        </is>
      </c>
      <c r="G62" s="54" t="inlineStr">
        <is>
          <t>Sim</t>
        </is>
      </c>
      <c r="H62" s="43" t="n"/>
      <c r="I62" s="43" t="n"/>
      <c r="J62" s="43" t="inlineStr">
        <is>
          <t>Não</t>
        </is>
      </c>
      <c r="K62" s="43" t="n"/>
    </row>
    <row r="63">
      <c r="A63" s="52" t="inlineStr">
        <is>
          <t>Luana</t>
        </is>
      </c>
      <c r="B63" s="43" t="inlineStr">
        <is>
          <t>São Pedro do Iguaçu</t>
        </is>
      </c>
      <c r="C63" s="43" t="n">
        <v>1</v>
      </c>
      <c r="D63" s="43">
        <f>IFERROR(IF(INDEX('Form 1 - Município'!D2:D500, MATCH(B63&amp;C63, INDEX('Form 1 - Município'!B2:B500&amp;'Form 1 - Município'!C2:C500, 0), 0))="", "", INDEX('Form 1 - Município'!D2:D500, MATCH(B63&amp;C63, INDEX('Form 1 - Município'!B2:B500&amp;'Form 1 - Município'!C2:C500, 0), 0))), "")</f>
        <v/>
      </c>
      <c r="E63" s="44" t="inlineStr">
        <is>
          <t>Enviado</t>
        </is>
      </c>
      <c r="F63" s="43" t="inlineStr">
        <is>
          <t>01/04/2025</t>
        </is>
      </c>
      <c r="G63" s="54" t="inlineStr">
        <is>
          <t>Sim</t>
        </is>
      </c>
      <c r="H63" s="43" t="n"/>
      <c r="I63" s="43" t="n"/>
      <c r="J63" s="43" t="inlineStr">
        <is>
          <t>Não</t>
        </is>
      </c>
      <c r="K63" s="43" t="n"/>
    </row>
    <row r="64">
      <c r="A64" s="53" t="inlineStr">
        <is>
          <t>Larissa</t>
        </is>
      </c>
      <c r="B64" s="43" t="inlineStr">
        <is>
          <t>Serranopolis do Iguaçu</t>
        </is>
      </c>
      <c r="C64" s="43" t="n">
        <v>1</v>
      </c>
      <c r="D64" s="43">
        <f>IFERROR(IF(INDEX('Form 1 - Município'!D2:D500, MATCH(B64&amp;C64, INDEX('Form 1 - Município'!B2:B500&amp;'Form 1 - Município'!C2:C500, 0), 0))="", "", INDEX('Form 1 - Município'!D2:D500, MATCH(B64&amp;C64, INDEX('Form 1 - Município'!B2:B500&amp;'Form 1 - Município'!C2:C500, 0), 0))), "")</f>
        <v/>
      </c>
      <c r="E64" s="44" t="inlineStr">
        <is>
          <t>Enviado</t>
        </is>
      </c>
      <c r="F64" s="43" t="inlineStr">
        <is>
          <t>08/04/2025</t>
        </is>
      </c>
      <c r="G64" s="54" t="inlineStr">
        <is>
          <t>Sim</t>
        </is>
      </c>
      <c r="H64" s="43" t="n"/>
      <c r="I64" s="43" t="n"/>
      <c r="J64" s="43" t="inlineStr">
        <is>
          <t>Não</t>
        </is>
      </c>
      <c r="K64" s="43" t="n"/>
    </row>
    <row r="65">
      <c r="A65" s="42" t="inlineStr">
        <is>
          <t>Gabriel</t>
        </is>
      </c>
      <c r="B65" s="43" t="inlineStr">
        <is>
          <t>Terra Roxa</t>
        </is>
      </c>
      <c r="C65" s="43" t="n">
        <v>1</v>
      </c>
      <c r="D65" s="43">
        <f>IFERROR(IF(INDEX('Form 1 - Município'!D2:D500, MATCH(B65&amp;C65, INDEX('Form 1 - Município'!B2:B500&amp;'Form 1 - Município'!C2:C500, 0), 0))="", "", INDEX('Form 1 - Município'!D2:D500, MATCH(B65&amp;C65, INDEX('Form 1 - Município'!B2:B500&amp;'Form 1 - Município'!C2:C500, 0), 0))), "")</f>
        <v/>
      </c>
      <c r="E65" s="44" t="inlineStr">
        <is>
          <t>Enviado</t>
        </is>
      </c>
      <c r="F65" s="43" t="inlineStr">
        <is>
          <t>12/05/2025</t>
        </is>
      </c>
      <c r="G65" s="54" t="inlineStr">
        <is>
          <t>Sim</t>
        </is>
      </c>
      <c r="H65" s="43" t="inlineStr">
        <is>
          <t xml:space="preserve"> revisar NOME RAZÃO SOCIAL (pois o de vocês é: ASSOCIACAO DOS CATADORES DE MATERIAIS RECICLAVEIS DE TERRA ROXA - ACARTERRA) e o nome FANTASIA  - ACARTERRA. Colocar os documentos, pois não tem nada no sistema!! 6 possuem ensino superior? revisar; </t>
        </is>
      </c>
      <c r="I65" s="43" t="inlineStr">
        <is>
          <t>ID169; ID168; ID166; ID165; ID149</t>
        </is>
      </c>
      <c r="J65" s="43" t="inlineStr">
        <is>
          <t>Sim</t>
        </is>
      </c>
      <c r="K65" s="43" t="inlineStr">
        <is>
          <t>Deletados 149;165;166;168;169</t>
        </is>
      </c>
    </row>
    <row r="66">
      <c r="A66" s="42" t="inlineStr">
        <is>
          <t>Gabriel</t>
        </is>
      </c>
      <c r="B66" s="43" t="inlineStr">
        <is>
          <t>Toledo</t>
        </is>
      </c>
      <c r="C66" s="43" t="n">
        <v>1</v>
      </c>
      <c r="D66" s="43">
        <f>IFERROR(IF(INDEX('Form 1 - Município'!D2:D500, MATCH(B66&amp;C66, INDEX('Form 1 - Município'!B2:B500&amp;'Form 1 - Município'!C2:C500, 0), 0))="", "", INDEX('Form 1 - Município'!D2:D500, MATCH(B66&amp;C66, INDEX('Form 1 - Município'!B2:B500&amp;'Form 1 - Município'!C2:C500, 0), 0))), "")</f>
        <v/>
      </c>
      <c r="E66" s="44" t="inlineStr">
        <is>
          <t>Enviado</t>
        </is>
      </c>
      <c r="F66" s="43" t="inlineStr">
        <is>
          <t>29/07/2025</t>
        </is>
      </c>
      <c r="G66" s="54" t="inlineStr">
        <is>
          <t>Sim</t>
        </is>
      </c>
      <c r="H66" s="43" t="inlineStr">
        <is>
          <t>Corrigir nome da presidente</t>
        </is>
      </c>
      <c r="I66" s="43" t="inlineStr">
        <is>
          <t>ID115, ID187</t>
        </is>
      </c>
      <c r="J66" s="43" t="inlineStr">
        <is>
          <t>Sim</t>
        </is>
      </c>
      <c r="K66" s="43" t="inlineStr">
        <is>
          <t>Deletados 115; 187</t>
        </is>
      </c>
    </row>
    <row r="67">
      <c r="A67" s="46" t="inlineStr">
        <is>
          <t>Bianca</t>
        </is>
      </c>
      <c r="B67" s="43" t="inlineStr">
        <is>
          <t>Tres Barras do Parana</t>
        </is>
      </c>
      <c r="C67" s="43" t="n">
        <v>1</v>
      </c>
      <c r="D67" s="43">
        <f>IFERROR(IF(INDEX('Form 1 - Município'!D2:D500, MATCH(B67&amp;C67, INDEX('Form 1 - Município'!B2:B500&amp;'Form 1 - Município'!C2:C500, 0), 0))="", "", INDEX('Form 1 - Município'!D2:D500, MATCH(B67&amp;C67, INDEX('Form 1 - Município'!B2:B500&amp;'Form 1 - Município'!C2:C500, 0), 0))), "")</f>
        <v/>
      </c>
      <c r="E67" s="44" t="inlineStr">
        <is>
          <t>Enviado</t>
        </is>
      </c>
      <c r="F67" s="43" t="inlineStr">
        <is>
          <t>20/03/2025</t>
        </is>
      </c>
      <c r="G67" s="55" t="inlineStr">
        <is>
          <t>Não</t>
        </is>
      </c>
      <c r="H67" s="43" t="n"/>
      <c r="I67" s="43" t="n"/>
      <c r="J67" s="43" t="inlineStr">
        <is>
          <t>Não</t>
        </is>
      </c>
      <c r="K67" s="43" t="n"/>
    </row>
    <row r="68">
      <c r="A68" s="49" t="inlineStr">
        <is>
          <t>Gustavo</t>
        </is>
      </c>
      <c r="B68" s="43" t="inlineStr">
        <is>
          <t>Tupassi</t>
        </is>
      </c>
      <c r="C68" s="43" t="n">
        <v>1</v>
      </c>
      <c r="D68" s="43">
        <f>IFERROR(IF(INDEX('Form 1 - Município'!D2:D500, MATCH(B68&amp;C68, INDEX('Form 1 - Município'!B2:B500&amp;'Form 1 - Município'!C2:C500, 0), 0))="", "", INDEX('Form 1 - Município'!D2:D500, MATCH(B68&amp;C68, INDEX('Form 1 - Município'!B2:B500&amp;'Form 1 - Município'!C2:C500, 0), 0))), "")</f>
        <v/>
      </c>
      <c r="E68" s="44" t="inlineStr">
        <is>
          <t>Enviado</t>
        </is>
      </c>
      <c r="F68" s="43" t="inlineStr">
        <is>
          <t>26/02/2025</t>
        </is>
      </c>
      <c r="G68" s="55" t="inlineStr">
        <is>
          <t>Não</t>
        </is>
      </c>
      <c r="H68" s="43" t="n"/>
      <c r="I68" s="43" t="n"/>
      <c r="J68" s="43" t="inlineStr">
        <is>
          <t>Não</t>
        </is>
      </c>
      <c r="K68" s="43" t="n"/>
    </row>
    <row r="69">
      <c r="A69" s="49" t="inlineStr">
        <is>
          <t>Gustavo</t>
        </is>
      </c>
      <c r="B69" s="43" t="inlineStr">
        <is>
          <t>Ubirata</t>
        </is>
      </c>
      <c r="C69" s="43" t="n">
        <v>1</v>
      </c>
      <c r="D69" s="43">
        <f>IFERROR(IF(INDEX('Form 1 - Município'!D2:D500, MATCH(B69&amp;C69, INDEX('Form 1 - Município'!B2:B500&amp;'Form 1 - Município'!C2:C500, 0), 0))="", "", INDEX('Form 1 - Município'!D2:D500, MATCH(B69&amp;C69, INDEX('Form 1 - Município'!B2:B500&amp;'Form 1 - Município'!C2:C500, 0), 0))), "")</f>
        <v/>
      </c>
      <c r="E69" s="44" t="inlineStr">
        <is>
          <t>Enviado</t>
        </is>
      </c>
      <c r="F69" s="43" t="inlineStr">
        <is>
          <t>17/06/2025</t>
        </is>
      </c>
      <c r="G69" s="55" t="inlineStr">
        <is>
          <t>Não</t>
        </is>
      </c>
      <c r="H69" s="43" t="n"/>
      <c r="I69" s="43" t="n"/>
      <c r="J69" s="43" t="inlineStr">
        <is>
          <t>Não</t>
        </is>
      </c>
      <c r="K69" s="43" t="n"/>
    </row>
    <row r="70">
      <c r="A70" s="52" t="inlineStr">
        <is>
          <t>Luana</t>
        </is>
      </c>
      <c r="B70" s="43" t="inlineStr">
        <is>
          <t>Vera Cruz do Oeste</t>
        </is>
      </c>
      <c r="C70" s="43" t="n">
        <v>1</v>
      </c>
      <c r="D70" s="43">
        <f>IFERROR(IF(INDEX('Form 1 - Município'!D2:D500, MATCH(B70&amp;C70, INDEX('Form 1 - Município'!B2:B500&amp;'Form 1 - Município'!C2:C500, 0), 0))="", "", INDEX('Form 1 - Município'!D2:D500, MATCH(B70&amp;C70, INDEX('Form 1 - Município'!B2:B500&amp;'Form 1 - Município'!C2:C500, 0), 0))), "")</f>
        <v/>
      </c>
      <c r="E70" s="47" t="inlineStr">
        <is>
          <t>Atrasado</t>
        </is>
      </c>
      <c r="F70" s="43" t="n"/>
      <c r="G70" s="55" t="inlineStr">
        <is>
          <t>Não</t>
        </is>
      </c>
      <c r="H70" s="43" t="n"/>
      <c r="I70" s="43" t="n"/>
      <c r="J70" s="43" t="inlineStr">
        <is>
          <t>Não</t>
        </is>
      </c>
      <c r="K70" s="43" t="n"/>
    </row>
  </sheetData>
  <autoFilter ref="A1:G1"/>
  <conditionalFormatting sqref="G2:G70">
    <cfRule type="cellIs" priority="1" operator="equal" dxfId="5" stopIfTrue="1">
      <formula>"Sim"</formula>
    </cfRule>
    <cfRule type="cellIs" priority="3" operator="equal" dxfId="6" stopIfTrue="1">
      <formula>"Não"</formula>
    </cfRule>
  </conditionalFormatting>
  <conditionalFormatting sqref="J2:J70">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70">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2025-12-04T12:07:32Z</dcterms:created>
  <dcterms:modified xmlns:dcterms="http://purl.org/dc/terms/" xmlns:xsi="http://www.w3.org/2001/XMLSchema-instance" xsi:type="dcterms:W3CDTF">2025-12-04T12:07:45Z</dcterms:modified>
</cp:coreProperties>
</file>